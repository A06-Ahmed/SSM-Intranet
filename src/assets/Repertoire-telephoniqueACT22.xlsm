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OUTIL.SMM\Desktop\"/>
    </mc:Choice>
  </mc:AlternateContent>
  <bookViews>
    <workbookView showHorizontalScroll="0" showVerticalScroll="0" xWindow="0" yWindow="0" windowWidth="15336" windowHeight="7680" activeTab="1"/>
  </bookViews>
  <sheets>
    <sheet name="Acceuil" sheetId="5" r:id="rId1"/>
    <sheet name="Base Contacts Internes" sheetId="8" r:id="rId2"/>
    <sheet name="Base Contacts Externes" sheetId="9" r:id="rId3"/>
    <sheet name="BASE" sheetId="11" r:id="rId4"/>
    <sheet name="Datos todas las hojas" sheetId="4" state="hidden" r:id="rId5"/>
  </sheets>
  <definedNames>
    <definedName name="_xlnm._FilterDatabase" localSheetId="1" hidden="1">'Base Contacts Internes'!$A$1:$I$156</definedName>
    <definedName name="A">#REF!</definedName>
    <definedName name="Affectation" localSheetId="3" hidden="1">BASE!$A$1:$D$411</definedName>
    <definedName name="cliente">#REF!</definedName>
    <definedName name="Código">#REF!</definedName>
    <definedName name="Liste1">#REF!</definedName>
    <definedName name="NIP">#REF!</definedName>
    <definedName name="Ref.">#REF!</definedName>
    <definedName name="Relación">OFFSET(Ref.,1,0,COUNTA(#REF!)-COUNTA(#REF!:Ref.),1)</definedName>
  </definedNames>
  <calcPr calcId="152511"/>
</workbook>
</file>

<file path=xl/calcChain.xml><?xml version="1.0" encoding="utf-8"?>
<calcChain xmlns="http://schemas.openxmlformats.org/spreadsheetml/2006/main">
  <c r="E6" i="4" l="1"/>
  <c r="D6" i="4"/>
  <c r="F6" i="4" s="1"/>
  <c r="G6" i="4" s="1"/>
  <c r="B6" i="4"/>
  <c r="E5" i="4"/>
  <c r="D5" i="4"/>
  <c r="B5" i="4"/>
  <c r="E4" i="4"/>
  <c r="D4" i="4"/>
  <c r="B4" i="4"/>
  <c r="F4" i="4" l="1"/>
  <c r="G4" i="4" s="1"/>
  <c r="F5" i="4"/>
  <c r="G5" i="4" s="1"/>
</calcChain>
</file>

<file path=xl/connections.xml><?xml version="1.0" encoding="utf-8"?>
<connections xmlns="http://schemas.openxmlformats.org/spreadsheetml/2006/main">
  <connection id="1" name="Affectation" type="1" refreshedVersion="5" background="1" saveData="1">
    <dbPr connection="DSN=Agirh;Description=Base GRH;UID=SYSADM;APP=Microsoft Office XP;WSID=SIBAH;DATABASE=SMMRH;LANGUAGE=Français;Network=DBMSSOCN" command="select s.matricule,  s.nom,  s.prenom, s.poste, s.matric_superieur, s.sce,    _x000d__x000a_s.etb,  b.lib_complet,_x000d__x000a_s.sce,  se.lib_complet,  s.chantier,s.dt_entree,s.fin_contrat , s.NO_SS,  s.CIVILITE, s.droit_a_la_paie,     _x000d__x000a_Case when u.niveau = 4 then u.uo end as uo,    _x000d__x000a__x000d__x000a_Case when u.niveau = 4 then u.lib_complet end as unite_org, _x000d__x000a_s.CATEGORIE_PROF,  c.intitule   _x000d__x000a_from salarie s _x000d__x000a_left join table_reference c  on (s.CATEGORIE_PROF =c.code and c.table_name = 'CATEGORIE_PROF')_x000d__x000a_left join etb b on s.ste=b.ste and s.etb = b.etb    _x000d__x000a_left join service se on s.ste=se.ste and s.etb = se.etb and se.sce =s.sce _x000d__x000a_left join unite_org u on s.ste=u.ste and s.etb = u.etb and u.sce =s.sce and s.lieu =u.uo    _x000d__x000a_where  s.droit_a_la_paie=1_x000d__x000a_order by s.matricule"/>
  </connection>
</connections>
</file>

<file path=xl/sharedStrings.xml><?xml version="1.0" encoding="utf-8"?>
<sst xmlns="http://schemas.openxmlformats.org/spreadsheetml/2006/main" count="2984" uniqueCount="1885">
  <si>
    <t>CIF / NIF</t>
  </si>
  <si>
    <t>%</t>
  </si>
  <si>
    <t>Unidades</t>
  </si>
  <si>
    <t xml:space="preserve">Artículo/Concepto/Descripción/etc. </t>
  </si>
  <si>
    <t>Descripción</t>
  </si>
  <si>
    <t>Descuento%</t>
  </si>
  <si>
    <t>Teléfono</t>
  </si>
  <si>
    <t>Descuento</t>
  </si>
  <si>
    <t>Dirección Cliente</t>
  </si>
  <si>
    <t xml:space="preserve">Total </t>
  </si>
  <si>
    <t>A001</t>
  </si>
  <si>
    <t>A002</t>
  </si>
  <si>
    <t>A003</t>
  </si>
  <si>
    <t>Descripción producto A001</t>
  </si>
  <si>
    <t>Descripción producto A002</t>
  </si>
  <si>
    <t>Descripción producto A003</t>
  </si>
  <si>
    <t>Descripción producto A004</t>
  </si>
  <si>
    <t>Descuento total</t>
  </si>
  <si>
    <t xml:space="preserve">Código </t>
  </si>
  <si>
    <t>Denominación cliente</t>
  </si>
  <si>
    <t>Precio Unidad</t>
  </si>
  <si>
    <t>x2xxxx</t>
  </si>
  <si>
    <t>E-mail</t>
  </si>
  <si>
    <t>Codigo artículo</t>
  </si>
  <si>
    <t>Referencia</t>
  </si>
  <si>
    <t>Datos del cliente Nombre/o razón social</t>
  </si>
  <si>
    <t>Dircción cliente-1</t>
  </si>
  <si>
    <t>xxxxxxxx</t>
  </si>
  <si>
    <t>Campos de la hoja cliente</t>
  </si>
  <si>
    <t>Campos de la hoja de articulos/productos</t>
  </si>
  <si>
    <t>Campos de la hoja factura</t>
  </si>
  <si>
    <t>22</t>
  </si>
  <si>
    <t>Courriel</t>
  </si>
  <si>
    <t>Extension</t>
  </si>
  <si>
    <t>Affectation</t>
  </si>
  <si>
    <t>Répertoire Téléphonique</t>
  </si>
  <si>
    <t>Nom et prénom</t>
  </si>
  <si>
    <t>Téléphone portable</t>
  </si>
  <si>
    <t>Fixe Directe</t>
  </si>
  <si>
    <t>0641-99-35-71</t>
  </si>
  <si>
    <t>*7084</t>
  </si>
  <si>
    <t>0522-76-37-45</t>
  </si>
  <si>
    <t>sdaoui@ssd.ma</t>
  </si>
  <si>
    <t>0522-76-37-17</t>
  </si>
  <si>
    <t>0522-76-37-84</t>
  </si>
  <si>
    <t>Informatique</t>
  </si>
  <si>
    <t>0522-76-37-38</t>
  </si>
  <si>
    <t>Commercial</t>
  </si>
  <si>
    <t>0522-76-37-95</t>
  </si>
  <si>
    <t>mbarhane@ssd.ma</t>
  </si>
  <si>
    <t>Comptabilité</t>
  </si>
  <si>
    <t>0522-76-37-32</t>
  </si>
  <si>
    <t>Transports</t>
  </si>
  <si>
    <t>0641-99-35-52</t>
  </si>
  <si>
    <t>*7203</t>
  </si>
  <si>
    <t>0522-76-37-83</t>
  </si>
  <si>
    <t>Production</t>
  </si>
  <si>
    <t>0662-22-87-62</t>
  </si>
  <si>
    <t>0641-99-36-06</t>
  </si>
  <si>
    <t>0641-99-35-90</t>
  </si>
  <si>
    <t>*7140</t>
  </si>
  <si>
    <t>0522-76-37-52</t>
  </si>
  <si>
    <t>DRH</t>
  </si>
  <si>
    <t>0654-82-01-06</t>
  </si>
  <si>
    <t>*7108</t>
  </si>
  <si>
    <t>0522-76-37-43</t>
  </si>
  <si>
    <t>0522-76-37-60</t>
  </si>
  <si>
    <t>Gestion des stocks</t>
  </si>
  <si>
    <t>0522-76-37-90</t>
  </si>
  <si>
    <t>0522-76-37-12</t>
  </si>
  <si>
    <t>Planage</t>
  </si>
  <si>
    <t>0522-76-37-74</t>
  </si>
  <si>
    <t>Plancher</t>
  </si>
  <si>
    <t>0522-76-37-77</t>
  </si>
  <si>
    <t>*7584</t>
  </si>
  <si>
    <t>0522-76-37-25</t>
  </si>
  <si>
    <t>0661-55-80-97</t>
  </si>
  <si>
    <t>*7402</t>
  </si>
  <si>
    <t>0522-76-37-19</t>
  </si>
  <si>
    <t>0522-76-37-40</t>
  </si>
  <si>
    <t>0661-09-39-77</t>
  </si>
  <si>
    <t>*7448</t>
  </si>
  <si>
    <t>0522-76-37-15</t>
  </si>
  <si>
    <t>0641-99-35-85</t>
  </si>
  <si>
    <t>0522-76-37-29</t>
  </si>
  <si>
    <t>0641-99-36-33</t>
  </si>
  <si>
    <t>*7359</t>
  </si>
  <si>
    <t>0522-76-37-04</t>
  </si>
  <si>
    <t>0662-17-54-43</t>
  </si>
  <si>
    <t>*7498</t>
  </si>
  <si>
    <t>0664-75-21-35</t>
  </si>
  <si>
    <t>*7181</t>
  </si>
  <si>
    <t>0522-76-37-71</t>
  </si>
  <si>
    <t>0661-69-19-91</t>
  </si>
  <si>
    <t>*7324</t>
  </si>
  <si>
    <t>0666-01-53-13</t>
  </si>
  <si>
    <t>*7925</t>
  </si>
  <si>
    <t>0522-76-37-79</t>
  </si>
  <si>
    <t>0641-99-35-97</t>
  </si>
  <si>
    <t>*7330</t>
  </si>
  <si>
    <t>0522-76-37-33</t>
  </si>
  <si>
    <t>0641-99-35-96</t>
  </si>
  <si>
    <t>*7474</t>
  </si>
  <si>
    <t>0522-76-37-56</t>
  </si>
  <si>
    <t>0661-49-28-40</t>
  </si>
  <si>
    <t>*7499</t>
  </si>
  <si>
    <t>0641-99-35-70</t>
  </si>
  <si>
    <t>*7037</t>
  </si>
  <si>
    <t>0522-76-37-82</t>
  </si>
  <si>
    <t>0522-76-37-96</t>
  </si>
  <si>
    <t>Juridique</t>
  </si>
  <si>
    <t>0641-99-35-87</t>
  </si>
  <si>
    <t>*7024</t>
  </si>
  <si>
    <t>0522-76-37-94</t>
  </si>
  <si>
    <t>0600-59-75-82</t>
  </si>
  <si>
    <t>05-22-76-37-00</t>
  </si>
  <si>
    <t>0661-97-78-19</t>
  </si>
  <si>
    <t>*7923</t>
  </si>
  <si>
    <t>0522-76-37-46</t>
  </si>
  <si>
    <t>06-82-27-14-74</t>
  </si>
  <si>
    <t>0522-76-37-70</t>
  </si>
  <si>
    <t>0650-10-94-64</t>
  </si>
  <si>
    <t>0522-76-37-36</t>
  </si>
  <si>
    <t>0641-99-35-94</t>
  </si>
  <si>
    <t>*7039</t>
  </si>
  <si>
    <t>0522-76-37-72</t>
  </si>
  <si>
    <t>0641-99-36-56</t>
  </si>
  <si>
    <t>0522-76-37-98</t>
  </si>
  <si>
    <t>0642-58-14-14</t>
  </si>
  <si>
    <t>0522-76-37-65</t>
  </si>
  <si>
    <t>0641-99-35-86</t>
  </si>
  <si>
    <t>*7047</t>
  </si>
  <si>
    <t>0522-76-37-75</t>
  </si>
  <si>
    <t>0641-99-35-66</t>
  </si>
  <si>
    <t>0522-76-37-64</t>
  </si>
  <si>
    <t>0661-43-67-41</t>
  </si>
  <si>
    <t>0641-99-35-63</t>
  </si>
  <si>
    <t>*7282</t>
  </si>
  <si>
    <t>0522-76-37-18</t>
  </si>
  <si>
    <t>0641-99-35-56</t>
  </si>
  <si>
    <t>*7050</t>
  </si>
  <si>
    <t>0522-76-37-61</t>
  </si>
  <si>
    <t>0641-99-36-22</t>
  </si>
  <si>
    <t>*7550</t>
  </si>
  <si>
    <t>0661-55-82-41</t>
  </si>
  <si>
    <t>*7403</t>
  </si>
  <si>
    <t>0522-76-37-57</t>
  </si>
  <si>
    <t>Marketing</t>
  </si>
  <si>
    <t>0641-99-35-59</t>
  </si>
  <si>
    <t>*7247</t>
  </si>
  <si>
    <t>0522-76-37-27</t>
  </si>
  <si>
    <t>0522-76-37-63</t>
  </si>
  <si>
    <t>0522-76-37-66</t>
  </si>
  <si>
    <t>0641-99-35-93</t>
  </si>
  <si>
    <t>*7187</t>
  </si>
  <si>
    <t>0522-76-37-81</t>
  </si>
  <si>
    <t>0662-13-71-12</t>
  </si>
  <si>
    <t>*7064</t>
  </si>
  <si>
    <t>0522-76-37-69</t>
  </si>
  <si>
    <t>0666-18-20-81</t>
  </si>
  <si>
    <t>*7179</t>
  </si>
  <si>
    <t>0522-76-37-68</t>
  </si>
  <si>
    <t>0661-46-21-12</t>
  </si>
  <si>
    <t>*7106</t>
  </si>
  <si>
    <t>0522-76-37-07</t>
  </si>
  <si>
    <t>0522-76-37-24</t>
  </si>
  <si>
    <t>0689-81-28-87</t>
  </si>
  <si>
    <t>*7750</t>
  </si>
  <si>
    <t>0522-76-37-49</t>
  </si>
  <si>
    <t>0522-76-37-73</t>
  </si>
  <si>
    <t>0522-76-37-78</t>
  </si>
  <si>
    <t>0522-76-37-37</t>
  </si>
  <si>
    <t>0661-57-02-48</t>
  </si>
  <si>
    <t>*7560</t>
  </si>
  <si>
    <t>0522-76-37-76</t>
  </si>
  <si>
    <t>0522-22-07-50</t>
  </si>
  <si>
    <t>0522-27-94-59</t>
  </si>
  <si>
    <t>0520-29-62-00</t>
  </si>
  <si>
    <t>0678-78-58-00</t>
  </si>
  <si>
    <t>*7000</t>
  </si>
  <si>
    <t>0522-76-37-03</t>
  </si>
  <si>
    <t>0641-99-36-36</t>
  </si>
  <si>
    <t>*7687</t>
  </si>
  <si>
    <t>0522-76-37-97</t>
  </si>
  <si>
    <t>0651-08-23-97</t>
  </si>
  <si>
    <t>0522-76-37-67</t>
  </si>
  <si>
    <t>0662-31-39-15</t>
  </si>
  <si>
    <t>*7602</t>
  </si>
  <si>
    <t>0522-76-37-30</t>
  </si>
  <si>
    <t>0641-99-36-34</t>
  </si>
  <si>
    <t>*7345</t>
  </si>
  <si>
    <t>0641-99-35-84</t>
  </si>
  <si>
    <t>*7261</t>
  </si>
  <si>
    <t>0522-76-37-91</t>
  </si>
  <si>
    <t>0522-76-37-47</t>
  </si>
  <si>
    <t>Qualité</t>
  </si>
  <si>
    <t>0522-76-37-16</t>
  </si>
  <si>
    <t>Achats</t>
  </si>
  <si>
    <t>0641-99-36-50</t>
  </si>
  <si>
    <t>*7259</t>
  </si>
  <si>
    <t>0522-76-37-48</t>
  </si>
  <si>
    <t>0654-82-01-10</t>
  </si>
  <si>
    <t>0522-76-37-41</t>
  </si>
  <si>
    <t>0662-18-84-03</t>
  </si>
  <si>
    <t>*7049</t>
  </si>
  <si>
    <t>0522-76-37-62</t>
  </si>
  <si>
    <t>0641-99-36-08</t>
  </si>
  <si>
    <t>*7159</t>
  </si>
  <si>
    <t>0522-76-37-93</t>
  </si>
  <si>
    <t>Pose armatures</t>
  </si>
  <si>
    <t>0662-31-30-00</t>
  </si>
  <si>
    <t>0661-78-30-12</t>
  </si>
  <si>
    <t>*7216</t>
  </si>
  <si>
    <t>0522-76-37-26</t>
  </si>
  <si>
    <t>0522-76-37-22</t>
  </si>
  <si>
    <t>0522-76-37-20</t>
  </si>
  <si>
    <t>0672-77-66-78</t>
  </si>
  <si>
    <t>0522-76-37-42</t>
  </si>
  <si>
    <t>Commercial ADV</t>
  </si>
  <si>
    <t>0522-76-37-14</t>
  </si>
  <si>
    <t>0641-99-36-30</t>
  </si>
  <si>
    <t>*7357</t>
  </si>
  <si>
    <t>0522-76-37-51</t>
  </si>
  <si>
    <t>0666-18-07-39</t>
  </si>
  <si>
    <t>0522-76-37-86</t>
  </si>
  <si>
    <t>rnafki@ssd.ma</t>
  </si>
  <si>
    <t>0641-99-35-67</t>
  </si>
  <si>
    <t>0661-70-87-93</t>
  </si>
  <si>
    <t>*7271</t>
  </si>
  <si>
    <t>0522-76-37-55</t>
  </si>
  <si>
    <t>0522-76-37-02</t>
  </si>
  <si>
    <t>0678-85-95-95</t>
  </si>
  <si>
    <t>*7432</t>
  </si>
  <si>
    <t>0522-76-37-44</t>
  </si>
  <si>
    <t>0522-76-37-35</t>
  </si>
  <si>
    <t>0641-99-35-98</t>
  </si>
  <si>
    <t>*7150</t>
  </si>
  <si>
    <t>0522-76-37-34</t>
  </si>
  <si>
    <t>0661-10-86-23</t>
  </si>
  <si>
    <t>*7013</t>
  </si>
  <si>
    <t>0522-76-37-05</t>
  </si>
  <si>
    <t>0707-70-18-12</t>
  </si>
  <si>
    <t>*7362</t>
  </si>
  <si>
    <t>0620-67-38-89</t>
  </si>
  <si>
    <t>0522-76-37-59</t>
  </si>
  <si>
    <t>0662-49-48-46</t>
  </si>
  <si>
    <t>*7924</t>
  </si>
  <si>
    <t>0522-76-37-89</t>
  </si>
  <si>
    <t>0662-09-22-88</t>
  </si>
  <si>
    <t>*7443</t>
  </si>
  <si>
    <t>0522-76-37-80</t>
  </si>
  <si>
    <t>0669-46-07-86</t>
  </si>
  <si>
    <t>*7656</t>
  </si>
  <si>
    <t>0522-76-37-54</t>
  </si>
  <si>
    <t>0662-05-70-41</t>
  </si>
  <si>
    <t>*7505</t>
  </si>
  <si>
    <t>0522-76-37-11</t>
  </si>
  <si>
    <t>0661-71-66-72</t>
  </si>
  <si>
    <t>0522-76-37-21</t>
  </si>
  <si>
    <t>0662-24-49-66</t>
  </si>
  <si>
    <t>*7522</t>
  </si>
  <si>
    <t>0522-76-37-58</t>
  </si>
  <si>
    <t>0522-76-37-10</t>
  </si>
  <si>
    <t>0662-55-34-83</t>
  </si>
  <si>
    <t>*7922</t>
  </si>
  <si>
    <t>*7409</t>
  </si>
  <si>
    <t>0522-76-37-13</t>
  </si>
  <si>
    <t>0661-30-01-73</t>
  </si>
  <si>
    <t>*7554</t>
  </si>
  <si>
    <t>0522-76-37-92</t>
  </si>
  <si>
    <t>0641-99-35-55</t>
  </si>
  <si>
    <t>*7933</t>
  </si>
  <si>
    <t>0641-99-35-75</t>
  </si>
  <si>
    <t>*7932</t>
  </si>
  <si>
    <t>Code</t>
  </si>
  <si>
    <t>0653-60-71-81</t>
  </si>
  <si>
    <t>0661-55-28-47</t>
  </si>
  <si>
    <t>Atelier Entretien</t>
  </si>
  <si>
    <t>Bascule</t>
  </si>
  <si>
    <t>Atelier Planage</t>
  </si>
  <si>
    <t>Atelier Plnacher</t>
  </si>
  <si>
    <t>Garage</t>
  </si>
  <si>
    <t>Gueritte Siege</t>
  </si>
  <si>
    <t>Infirmerie</t>
  </si>
  <si>
    <t>Caisse</t>
  </si>
  <si>
    <t>Laboratoire</t>
  </si>
  <si>
    <t>Magasin Aciers Speciaux</t>
  </si>
  <si>
    <t xml:space="preserve">Salle de Réunion </t>
  </si>
  <si>
    <t>Bureau Etudes Armatures</t>
  </si>
  <si>
    <t>Logistqiue</t>
  </si>
  <si>
    <t>DAF</t>
  </si>
  <si>
    <t>Direction Technique</t>
  </si>
  <si>
    <t>Service HSE</t>
  </si>
  <si>
    <t>Contrôle de Gestion</t>
  </si>
  <si>
    <t>Bureau Etudes Plancher</t>
  </si>
  <si>
    <t/>
  </si>
  <si>
    <t>Direction Générale</t>
  </si>
  <si>
    <t>Commercial AVD</t>
  </si>
  <si>
    <t>Commercial Métallurgie</t>
  </si>
  <si>
    <t>Commercial Aciers Spéciaux</t>
  </si>
  <si>
    <t>Commercial Armatures</t>
  </si>
  <si>
    <t>Commercial BPE</t>
  </si>
  <si>
    <t>Commercial Bâtiment</t>
  </si>
  <si>
    <t>Commercial Produits Bâtiment</t>
  </si>
  <si>
    <t>Ordonnanacment</t>
  </si>
  <si>
    <t>Commercial Distributeurs</t>
  </si>
  <si>
    <t>DOSI</t>
  </si>
  <si>
    <t>melakkad@ssd.ma</t>
  </si>
  <si>
    <t>aatfi@ssd.ma</t>
  </si>
  <si>
    <t>0661-41-88-38</t>
  </si>
  <si>
    <t>Site</t>
  </si>
  <si>
    <t>Ahl Loghlam</t>
  </si>
  <si>
    <t>Tit Mellil</t>
  </si>
  <si>
    <t>*7947</t>
  </si>
  <si>
    <t>0522-76-06-77</t>
  </si>
  <si>
    <t>0661-70-76-12</t>
  </si>
  <si>
    <t>*7085</t>
  </si>
  <si>
    <t>Bascule Agrega</t>
  </si>
  <si>
    <t>*7953</t>
  </si>
  <si>
    <t>0522-76-06-83</t>
  </si>
  <si>
    <t>Centrale Adler</t>
  </si>
  <si>
    <t>*7944</t>
  </si>
  <si>
    <t>0522-76-06-74</t>
  </si>
  <si>
    <t>0662-64-48-93</t>
  </si>
  <si>
    <t>*7949</t>
  </si>
  <si>
    <t>0522-76-06-79</t>
  </si>
  <si>
    <t>0641-99-36-43</t>
  </si>
  <si>
    <t>*7222</t>
  </si>
  <si>
    <t>*7940</t>
  </si>
  <si>
    <t>0522-76-25-50</t>
  </si>
  <si>
    <t>0641-99-35-91</t>
  </si>
  <si>
    <t>*7557</t>
  </si>
  <si>
    <t>*7942</t>
  </si>
  <si>
    <t>0522-76-06-72</t>
  </si>
  <si>
    <t>0662-09-22-17</t>
  </si>
  <si>
    <t>*7714</t>
  </si>
  <si>
    <t>*7950</t>
  </si>
  <si>
    <t>0522-76-06-80</t>
  </si>
  <si>
    <t>Gueritte Nord</t>
  </si>
  <si>
    <t>*7952</t>
  </si>
  <si>
    <t>0522-76-06-82</t>
  </si>
  <si>
    <t>Gueritte Porte</t>
  </si>
  <si>
    <t>*7948</t>
  </si>
  <si>
    <t>0522-76-06-78</t>
  </si>
  <si>
    <t>*7945</t>
  </si>
  <si>
    <t>0522-76-06-75</t>
  </si>
  <si>
    <t>Section Enrobage</t>
  </si>
  <si>
    <t>*7959</t>
  </si>
  <si>
    <t>0522-76-06-89</t>
  </si>
  <si>
    <t xml:space="preserve">Point Contrôle </t>
  </si>
  <si>
    <t>*7955</t>
  </si>
  <si>
    <t>0522-76-06-85</t>
  </si>
  <si>
    <t>Presse Nord</t>
  </si>
  <si>
    <t>*7954</t>
  </si>
  <si>
    <t>0522-76-06-84</t>
  </si>
  <si>
    <t>Presse Sud</t>
  </si>
  <si>
    <t>*7956</t>
  </si>
  <si>
    <t>0522-76-06-86</t>
  </si>
  <si>
    <t>Assembaleg Armature</t>
  </si>
  <si>
    <t>*7960</t>
  </si>
  <si>
    <t>0522-76-06-90</t>
  </si>
  <si>
    <t>*7943</t>
  </si>
  <si>
    <t>0522-76-06-73</t>
  </si>
  <si>
    <t>Usine 1</t>
  </si>
  <si>
    <t>*7961</t>
  </si>
  <si>
    <t>0522-76-06-91</t>
  </si>
  <si>
    <t>Kénitra</t>
  </si>
  <si>
    <t>0661-70-68-55</t>
  </si>
  <si>
    <t>*7901</t>
  </si>
  <si>
    <t>0537-36-97-61</t>
  </si>
  <si>
    <t>Centrale à Beton</t>
  </si>
  <si>
    <t>*7907</t>
  </si>
  <si>
    <t>0537-36-97-67</t>
  </si>
  <si>
    <t>*7905</t>
  </si>
  <si>
    <t>0537-36-97-65</t>
  </si>
  <si>
    <t>*7902</t>
  </si>
  <si>
    <t>0537-36-97-62</t>
  </si>
  <si>
    <t>0622-86-40-54</t>
  </si>
  <si>
    <t>Gueritte Kenitra</t>
  </si>
  <si>
    <t>*7906</t>
  </si>
  <si>
    <t>0537-36-97-66</t>
  </si>
  <si>
    <t>0662-78-47-58</t>
  </si>
  <si>
    <t>Salle Reunion</t>
  </si>
  <si>
    <t>*7904</t>
  </si>
  <si>
    <t>0537-36-97-64</t>
  </si>
  <si>
    <t>Jorf Lasfar</t>
  </si>
  <si>
    <t>*7981</t>
  </si>
  <si>
    <t>0523-38-93-01</t>
  </si>
  <si>
    <t>07-62-70-52-29</t>
  </si>
  <si>
    <t>*7606</t>
  </si>
  <si>
    <t>*7982</t>
  </si>
  <si>
    <t>0523-38-93-02</t>
  </si>
  <si>
    <t>0684-28-14-88</t>
  </si>
  <si>
    <t>*7723</t>
  </si>
  <si>
    <t>Centrale à béton</t>
  </si>
  <si>
    <t>*7977</t>
  </si>
  <si>
    <t>0523-38-93-07</t>
  </si>
  <si>
    <t>*7976</t>
  </si>
  <si>
    <t>0523-38-93-06</t>
  </si>
  <si>
    <t>0671-28-59-24</t>
  </si>
  <si>
    <t>Loboratoire</t>
  </si>
  <si>
    <t>*7978</t>
  </si>
  <si>
    <t>0523-38-93-08</t>
  </si>
  <si>
    <t>*7720</t>
  </si>
  <si>
    <t>0523-34-50-71</t>
  </si>
  <si>
    <t>0641-99-35-69</t>
  </si>
  <si>
    <t>Magasin Jorf Lasfar</t>
  </si>
  <si>
    <t>*7980</t>
  </si>
  <si>
    <t>0523-38-93-00</t>
  </si>
  <si>
    <t>*7979</t>
  </si>
  <si>
    <t>0523-38-93-09</t>
  </si>
  <si>
    <t>0641-99-36-28</t>
  </si>
  <si>
    <t>*7355</t>
  </si>
  <si>
    <t>*7930</t>
  </si>
  <si>
    <t>0663-03-53-47</t>
  </si>
  <si>
    <t>TOUBKAL FER</t>
  </si>
  <si>
    <t>*7193</t>
  </si>
  <si>
    <t>0524-44-79-95</t>
  </si>
  <si>
    <t>TRANS AGRICOLE</t>
  </si>
  <si>
    <t>0674-91-44-44</t>
  </si>
  <si>
    <t>*7029</t>
  </si>
  <si>
    <t>TRANS IFTIKHAR</t>
  </si>
  <si>
    <t>0661-05-35-82</t>
  </si>
  <si>
    <t>*7253</t>
  </si>
  <si>
    <t>TRANS RAGHAY</t>
  </si>
  <si>
    <t>0661-87-04-10</t>
  </si>
  <si>
    <t>*7252</t>
  </si>
  <si>
    <t>TRANSPORT ENNASR</t>
  </si>
  <si>
    <t>0661-13-63-35</t>
  </si>
  <si>
    <t>*7274</t>
  </si>
  <si>
    <t>TUBE ET PROFIL</t>
  </si>
  <si>
    <t>*7212</t>
  </si>
  <si>
    <t>0522-35-75-20</t>
  </si>
  <si>
    <t>VENTEC MAROC</t>
  </si>
  <si>
    <t>*7586</t>
  </si>
  <si>
    <t>0522-67-74-00</t>
  </si>
  <si>
    <t>VERCO</t>
  </si>
  <si>
    <t>*7566</t>
  </si>
  <si>
    <t>0522-25-48-37</t>
  </si>
  <si>
    <t>VERITAS</t>
  </si>
  <si>
    <t>*7569</t>
  </si>
  <si>
    <t>0522-54-35-40</t>
  </si>
  <si>
    <t>YOUSRA LILTAJHIZ</t>
  </si>
  <si>
    <t>*7057</t>
  </si>
  <si>
    <t>0524-79-23-82</t>
  </si>
  <si>
    <t>SOFIPAR</t>
  </si>
  <si>
    <t>Organisation</t>
  </si>
  <si>
    <t>Inerlocuteur</t>
  </si>
  <si>
    <t>Ligne fixe</t>
  </si>
  <si>
    <t>Adraoui Abdelaziz</t>
  </si>
  <si>
    <t>Ait Braim Mohamed</t>
  </si>
  <si>
    <t>El Akkad Mustapha</t>
  </si>
  <si>
    <t>Aliouali Abdellah</t>
  </si>
  <si>
    <t>Amine Tarik</t>
  </si>
  <si>
    <t>Antalik Reda</t>
  </si>
  <si>
    <t>Atfi Amine</t>
  </si>
  <si>
    <t>Bahhar Said</t>
  </si>
  <si>
    <t>Bassiti Noureddine</t>
  </si>
  <si>
    <t>Belasri Mohamed</t>
  </si>
  <si>
    <t>Benbella Mohamed</t>
  </si>
  <si>
    <t>Benkirane Mohamed</t>
  </si>
  <si>
    <t>Boualem Mourad</t>
  </si>
  <si>
    <t>Boumal Abderrahim</t>
  </si>
  <si>
    <t>Bounou Amine</t>
  </si>
  <si>
    <t>Boutmezguine Mohammed</t>
  </si>
  <si>
    <t>Chakir Fouad</t>
  </si>
  <si>
    <t>Cherraf Anass</t>
  </si>
  <si>
    <t>Daamouche Ayoub</t>
  </si>
  <si>
    <t>Darnif Hicham</t>
  </si>
  <si>
    <t>Eddarbani Hicham</t>
  </si>
  <si>
    <t>El Azzouzi Bouselham</t>
  </si>
  <si>
    <t>Lablali Karim</t>
  </si>
  <si>
    <t>El Haggar Azzedine</t>
  </si>
  <si>
    <t>El Haouzi Mohamed</t>
  </si>
  <si>
    <t>El Idrissi Ismail</t>
  </si>
  <si>
    <t>Elhaimer Said</t>
  </si>
  <si>
    <t>Essaidy Rabii</t>
  </si>
  <si>
    <t>Ezzaou Abderrahim</t>
  </si>
  <si>
    <t>Ezzerari Abdellatif</t>
  </si>
  <si>
    <t>Farid Salah</t>
  </si>
  <si>
    <t>Fathallah Abdelmajid</t>
  </si>
  <si>
    <t>Fatihi Thami</t>
  </si>
  <si>
    <t>Filali  Wahbi Badr</t>
  </si>
  <si>
    <t>Ghouraib Abdellah</t>
  </si>
  <si>
    <t>Hammadi El Yousfi Otmane</t>
  </si>
  <si>
    <t>Henane Ayoub</t>
  </si>
  <si>
    <t>Imanssar Mehdi</t>
  </si>
  <si>
    <t>Kannour Othmane</t>
  </si>
  <si>
    <t>Khairi Nourddine</t>
  </si>
  <si>
    <t>Lafdili Mohamed</t>
  </si>
  <si>
    <t xml:space="preserve">El Gnaoui Yasser </t>
  </si>
  <si>
    <t>Larouache Amina</t>
  </si>
  <si>
    <t>Lembarki Ahmed</t>
  </si>
  <si>
    <t>Louarti Soufiane</t>
  </si>
  <si>
    <t xml:space="preserve">Machhour Mustapha </t>
  </si>
  <si>
    <t>Magasin Piece de Rechange</t>
  </si>
  <si>
    <t>Naji  Youssef</t>
  </si>
  <si>
    <t>Omari Abdelkrim</t>
  </si>
  <si>
    <t>Ouhmidou Mohamed</t>
  </si>
  <si>
    <t>Rahmouni Faisal</t>
  </si>
  <si>
    <t>Sadik Mohamed</t>
  </si>
  <si>
    <t>Samaouate Mouhcine</t>
  </si>
  <si>
    <t>Taib Hassan</t>
  </si>
  <si>
    <t>Tazroute Yassine</t>
  </si>
  <si>
    <t>Tounsadi Zouhair Achraf</t>
  </si>
  <si>
    <t>Touzani Zouhair</t>
  </si>
  <si>
    <t>Zitouni Youssef</t>
  </si>
  <si>
    <t xml:space="preserve">Gargouh Hassan </t>
  </si>
  <si>
    <t>Rahmi Driss</t>
  </si>
  <si>
    <t>Azim Mounir</t>
  </si>
  <si>
    <t>Allaoui Mohammed</t>
  </si>
  <si>
    <t>El Mai Driss</t>
  </si>
  <si>
    <t>Elaisaouaali Abdelaziz</t>
  </si>
  <si>
    <t>Essadeq Mouhcin/ Graoui</t>
  </si>
  <si>
    <t>Fikri Othmane</t>
  </si>
  <si>
    <t>Sadik Salaheddine</t>
  </si>
  <si>
    <t xml:space="preserve">Amrani Abdelfettah </t>
  </si>
  <si>
    <t>Faiz Yassine</t>
  </si>
  <si>
    <t>Harrou Mohammed</t>
  </si>
  <si>
    <t>Faqir Mohamed Amine</t>
  </si>
  <si>
    <t>Abidar Rachid</t>
  </si>
  <si>
    <t>Ait Alla Ouali Mohamed</t>
  </si>
  <si>
    <t>Guennouni Abderrahim</t>
  </si>
  <si>
    <t>Lagraini Mouad</t>
  </si>
  <si>
    <t>Daoui Soumia</t>
  </si>
  <si>
    <t>Aouzioui Asmaa</t>
  </si>
  <si>
    <t>Belallam Imane</t>
  </si>
  <si>
    <t>Benachour Chrahrazade</t>
  </si>
  <si>
    <t>Bouchrih Najoua</t>
  </si>
  <si>
    <t>Chaanoun Sondos</t>
  </si>
  <si>
    <t>Chelkha Yousra</t>
  </si>
  <si>
    <t>Ediani Hasnae</t>
  </si>
  <si>
    <t>Fassi Fihri Lamiae</t>
  </si>
  <si>
    <t>Hanoun Hanane</t>
  </si>
  <si>
    <t>Hdia Meryem</t>
  </si>
  <si>
    <t>Kamal Hanane</t>
  </si>
  <si>
    <t>Lamiaa Kaoutar</t>
  </si>
  <si>
    <t>Snah Amal</t>
  </si>
  <si>
    <t>Moumtaz Chaimae</t>
  </si>
  <si>
    <t>Mzaki Majdouline</t>
  </si>
  <si>
    <t>Rakib Yasmina</t>
  </si>
  <si>
    <t>Sabri Asmae</t>
  </si>
  <si>
    <t>Serhane Doha</t>
  </si>
  <si>
    <t>Souf Hasna</t>
  </si>
  <si>
    <t>Zaazoui Naoual</t>
  </si>
  <si>
    <t>Zehaf Siham</t>
  </si>
  <si>
    <t>Lakhal Nabil</t>
  </si>
  <si>
    <t>matricule</t>
  </si>
  <si>
    <t>chantier</t>
  </si>
  <si>
    <t>Service Bureau d’Etudes Plancher Béton</t>
  </si>
  <si>
    <t>TitMelil</t>
  </si>
  <si>
    <t>Siège</t>
  </si>
  <si>
    <t>Service Transports</t>
  </si>
  <si>
    <t>Service Gestion des stocks et Magasins</t>
  </si>
  <si>
    <t>Département Maintenance</t>
  </si>
  <si>
    <t>Service Administration des Ventes</t>
  </si>
  <si>
    <t>Département Commercial  Bâtiment</t>
  </si>
  <si>
    <t>Service Achats</t>
  </si>
  <si>
    <t>Département Administratif et Financier</t>
  </si>
  <si>
    <t>Département Commercial Métallurgie</t>
  </si>
  <si>
    <t>Service Marketing</t>
  </si>
  <si>
    <t>Département Production site Tit Mellil</t>
  </si>
  <si>
    <t>Dépratement Pose Armatures</t>
  </si>
  <si>
    <t>Département Production site Ahl Loghlam</t>
  </si>
  <si>
    <t>SOGDESAF</t>
  </si>
  <si>
    <t>SOGECAMP</t>
  </si>
  <si>
    <t>SEPRKHOU</t>
  </si>
  <si>
    <t>SOGHAULL</t>
  </si>
  <si>
    <t>SOGELYDX</t>
  </si>
  <si>
    <t>TGCCTEMA</t>
  </si>
  <si>
    <t>BYMASHCC</t>
  </si>
  <si>
    <t>URBATHEA</t>
  </si>
  <si>
    <t>MOSADMAA</t>
  </si>
  <si>
    <t>CMMRABA</t>
  </si>
  <si>
    <t>TGCCEURO</t>
  </si>
  <si>
    <t>MENASTEL</t>
  </si>
  <si>
    <t>GENEFQIH</t>
  </si>
  <si>
    <t>SiteJorf</t>
  </si>
  <si>
    <t>TRAMPARK</t>
  </si>
  <si>
    <t>SBTHMAYS</t>
  </si>
  <si>
    <t>SBTHBERN</t>
  </si>
  <si>
    <t>STAMBASS</t>
  </si>
  <si>
    <t>OCBMAUDA</t>
  </si>
  <si>
    <t>OCBMCASA</t>
  </si>
  <si>
    <t>CMMBENIS</t>
  </si>
  <si>
    <t>Département Commercial Armatures</t>
  </si>
  <si>
    <t>Service Commercial  Distributeurs</t>
  </si>
  <si>
    <t>Département Production site Jorf Lasfar</t>
  </si>
  <si>
    <t>SYSTDAKH</t>
  </si>
  <si>
    <t>Département Qualité, Sécurité et Environnement</t>
  </si>
  <si>
    <t>SiteKéni</t>
  </si>
  <si>
    <t>Service Administration du Personnel</t>
  </si>
  <si>
    <t>Service Services Généraux</t>
  </si>
  <si>
    <t>Service Informatique Informatique Industrielle</t>
  </si>
  <si>
    <t>Service Juridique</t>
  </si>
  <si>
    <t>Contrôe De Gestion</t>
  </si>
  <si>
    <t>Service Informatique</t>
  </si>
  <si>
    <t>Section Bureau d'Etudes Armatures</t>
  </si>
  <si>
    <t>Section  Administration des Ventes Armatures</t>
  </si>
  <si>
    <t>Département Gestion des Projets</t>
  </si>
  <si>
    <t>Section Achats Matières Premières &amp; Ordonnancement</t>
  </si>
  <si>
    <t>Service Développement</t>
  </si>
  <si>
    <t>Nom et Prénom</t>
  </si>
  <si>
    <t>HADANE ABDELJABBAR</t>
  </si>
  <si>
    <t>TALBI MJID</t>
  </si>
  <si>
    <t>LAFTIMI ABDELHAKIM</t>
  </si>
  <si>
    <t>RIDA FATIMA</t>
  </si>
  <si>
    <t>FATIHI THAMI</t>
  </si>
  <si>
    <t>ADRAOUI ABDELAZIZ</t>
  </si>
  <si>
    <t>ALIOUALI ABDELLAH</t>
  </si>
  <si>
    <t>CHAFIF HASSAN</t>
  </si>
  <si>
    <t>TAHIR MUSTAPHA</t>
  </si>
  <si>
    <t>FARIS HASSAN</t>
  </si>
  <si>
    <t>DAOUDI ABDELILAH</t>
  </si>
  <si>
    <t>BOUMAL ABDERRAHIM</t>
  </si>
  <si>
    <t>EL MOUMENE RABAH</t>
  </si>
  <si>
    <t>FILALI WAHBI BADR</t>
  </si>
  <si>
    <t>BENBELLA MOHAMMED</t>
  </si>
  <si>
    <t>FARID SALAH</t>
  </si>
  <si>
    <t>BATTAH ABDELAZIZ</t>
  </si>
  <si>
    <t>BOUAROUJ HASSAN</t>
  </si>
  <si>
    <t>SADIK MOHAMED</t>
  </si>
  <si>
    <t>BEN ACHOUR CHAHRAZADE</t>
  </si>
  <si>
    <t>LABLALI KARIM</t>
  </si>
  <si>
    <t>EL HANI RACHID</t>
  </si>
  <si>
    <t>NAJI YOUSSEF</t>
  </si>
  <si>
    <t>EL AZZOUZI BOUSSELHAM</t>
  </si>
  <si>
    <t>CHOUM AHMED</t>
  </si>
  <si>
    <t>WAHMI ABDELMAJID</t>
  </si>
  <si>
    <t>RIDOUANI SAID</t>
  </si>
  <si>
    <t>ZBOUTA MOHAMMED</t>
  </si>
  <si>
    <t>ATBIR YOUSSEF</t>
  </si>
  <si>
    <t>MOURJANI EL MOSTAFA</t>
  </si>
  <si>
    <t>KAMAL HANANE</t>
  </si>
  <si>
    <t>ABOUSSOUF RADOUANE</t>
  </si>
  <si>
    <t>ARGUINE OMAR</t>
  </si>
  <si>
    <t>EMHAIMIZ MOHAMED</t>
  </si>
  <si>
    <t>MOUDAKIR ADIL</t>
  </si>
  <si>
    <t>LAHBAIKI HOSSAM</t>
  </si>
  <si>
    <t>EL MISSAOUI  MOHAMED</t>
  </si>
  <si>
    <t>FARCHIA EL KHYATI</t>
  </si>
  <si>
    <t>BEN LAHCEN MED ABDELOUAHD</t>
  </si>
  <si>
    <t>AJAJ BRAHIM</t>
  </si>
  <si>
    <t>JDIRI YOUSSEF</t>
  </si>
  <si>
    <t>HAMMADI EL YOUSSFI  OTMANE</t>
  </si>
  <si>
    <t>BAHADOU ABDERRAHIM</t>
  </si>
  <si>
    <t>HASSOUNA REDOUANE</t>
  </si>
  <si>
    <t>ABOU FADDA RACHID</t>
  </si>
  <si>
    <t>BOUAROUJ RACHID</t>
  </si>
  <si>
    <t>BAHHAR SAID</t>
  </si>
  <si>
    <t>JBABRI SAID</t>
  </si>
  <si>
    <t>BARKA RACHID</t>
  </si>
  <si>
    <t>ACHIR DRISS</t>
  </si>
  <si>
    <t>ADDAR MOHAMED</t>
  </si>
  <si>
    <t>TANGI SALIM</t>
  </si>
  <si>
    <t>MANDIL  YOUSSEF</t>
  </si>
  <si>
    <t>AKHIAD AHMED</t>
  </si>
  <si>
    <t>FAIZ EL HOUCINE</t>
  </si>
  <si>
    <t>EL YAZGHI EZZAHNI YOUNES</t>
  </si>
  <si>
    <t>AMIRI RACHID</t>
  </si>
  <si>
    <t>FIKRI OMAR</t>
  </si>
  <si>
    <t>HAMDI KHALIL</t>
  </si>
  <si>
    <t>JAOUAD ABDENBI</t>
  </si>
  <si>
    <t>DAYAJI RADOUAN</t>
  </si>
  <si>
    <t>CHADLI ABDELOUAHED</t>
  </si>
  <si>
    <t>ASSEBANE BOUJEMAA</t>
  </si>
  <si>
    <t>DAOUI SOUMIA</t>
  </si>
  <si>
    <t>OUAZRY TARIK</t>
  </si>
  <si>
    <t>EL AOUINATE NOUREDDINE</t>
  </si>
  <si>
    <t>OUATIK KHALID</t>
  </si>
  <si>
    <t>JALLABI HICHAM</t>
  </si>
  <si>
    <t>ASSABAN BACHIR</t>
  </si>
  <si>
    <t>KAFOUNI MOHAMMED</t>
  </si>
  <si>
    <t>TAOUSS  MORAD</t>
  </si>
  <si>
    <t>LAMBARKI AHMED</t>
  </si>
  <si>
    <t>ERRABIA MOHAMED</t>
  </si>
  <si>
    <t>AARAB HAMMOUDA</t>
  </si>
  <si>
    <t>ARIRI ABDELHADI</t>
  </si>
  <si>
    <t>KHANNOUFI SAID</t>
  </si>
  <si>
    <t>EL MOKHANTAR RACHID</t>
  </si>
  <si>
    <t>DARDANI RACHID</t>
  </si>
  <si>
    <t>MEKKAOUI ABDENBI</t>
  </si>
  <si>
    <t>FATH ALLAH ABDELMJID</t>
  </si>
  <si>
    <t>KHOUMRI SALAH</t>
  </si>
  <si>
    <t>LEMHAR BOUCHAIB</t>
  </si>
  <si>
    <t>EL KHARRAZ RACHID</t>
  </si>
  <si>
    <t>KHAIRI NOUREDDINE</t>
  </si>
  <si>
    <t>LAFDILI MOHAMED</t>
  </si>
  <si>
    <t>LAKHDIRA ADIL</t>
  </si>
  <si>
    <t>ARFAOUI ABDELLAH</t>
  </si>
  <si>
    <t>RADOUAI MOHAMMED</t>
  </si>
  <si>
    <t>NADI YASSINE</t>
  </si>
  <si>
    <t>RAFIK ABDELWAHED</t>
  </si>
  <si>
    <t>JEBBARI ABDERRAHIM</t>
  </si>
  <si>
    <t>ALLOUCH LAHCEN</t>
  </si>
  <si>
    <t>KAMAL YOUSSEF</t>
  </si>
  <si>
    <t>MAACHOUK LAHCEN</t>
  </si>
  <si>
    <t>ALLOUDI LAKBIR</t>
  </si>
  <si>
    <t>DADA ABDERRAZAK</t>
  </si>
  <si>
    <t>EDDAOUY AHMED</t>
  </si>
  <si>
    <t>AMJAHDI YOUSSEF</t>
  </si>
  <si>
    <t>RIDA DRISS</t>
  </si>
  <si>
    <t>SDASSI ABDENBI</t>
  </si>
  <si>
    <t>EL MIMI ABDELALI</t>
  </si>
  <si>
    <t>BOUCHAJRA YOUNES</t>
  </si>
  <si>
    <t>RIFAI HASSAN</t>
  </si>
  <si>
    <t>MACHHOUR MUSTAPHA</t>
  </si>
  <si>
    <t>DRISSI ISMAIL</t>
  </si>
  <si>
    <t>BENHAKI YOUSSEF</t>
  </si>
  <si>
    <t>TANARAIT MOSTAFA</t>
  </si>
  <si>
    <t>EL AROUSSI ISMAIL</t>
  </si>
  <si>
    <t>CHIBANE RACHID</t>
  </si>
  <si>
    <t>BOUMEDIANI BOUAZZA</t>
  </si>
  <si>
    <t>CHAMA SAID</t>
  </si>
  <si>
    <t>MANIANI MOHAMED</t>
  </si>
  <si>
    <t>ANTALIK REDA</t>
  </si>
  <si>
    <t>ZANRHOUR SAMIR</t>
  </si>
  <si>
    <t>DARNIF HICHAM</t>
  </si>
  <si>
    <t>SALAM YASSINE</t>
  </si>
  <si>
    <t>EZZERARI ABDELLATIF</t>
  </si>
  <si>
    <t>HAZLI MOHAMED</t>
  </si>
  <si>
    <t>EL AKKAD MUSTAPHA</t>
  </si>
  <si>
    <t>EDIANI HASNAA</t>
  </si>
  <si>
    <t>TAIB HASSAN</t>
  </si>
  <si>
    <t>EZZAOU ABDERRAHIM</t>
  </si>
  <si>
    <t>ACHAYANE MOHAMED</t>
  </si>
  <si>
    <t>SABIR NABIL</t>
  </si>
  <si>
    <t>RAMZA ADIL</t>
  </si>
  <si>
    <t>OSSISA MOHAMED</t>
  </si>
  <si>
    <t>ZEHAF SIHAM</t>
  </si>
  <si>
    <t>BENZOUINE WADIE</t>
  </si>
  <si>
    <t>AMINE TARIK</t>
  </si>
  <si>
    <t>HAMDOUCH YOUSSEF</t>
  </si>
  <si>
    <t>CHRIFI AFIF</t>
  </si>
  <si>
    <t>EL HANBALI ABDELLAH</t>
  </si>
  <si>
    <t>HANOUN HANANE</t>
  </si>
  <si>
    <t>MZAKI MAJDOULINE</t>
  </si>
  <si>
    <t>TOUHFA BOUBKER</t>
  </si>
  <si>
    <t>EL HAFIDOUN ZAKARIA</t>
  </si>
  <si>
    <t>MOUKRIMI HASSAN</t>
  </si>
  <si>
    <t>OMARI ABDELKRIM</t>
  </si>
  <si>
    <t>AZIKI ISMAIL</t>
  </si>
  <si>
    <t>BOUETIRE ABDELHAK</t>
  </si>
  <si>
    <t>BOUTMEZGUINE MOHAMED</t>
  </si>
  <si>
    <t>FASSI-FIHRI LAMIA</t>
  </si>
  <si>
    <t>WAHBI ABDELMAJID</t>
  </si>
  <si>
    <t>KAMOUNI MOHAMED</t>
  </si>
  <si>
    <t>EDDARBANI HICHAM</t>
  </si>
  <si>
    <t>CHMITI BOUAZZA</t>
  </si>
  <si>
    <t>RAHMOUNI FAISAL</t>
  </si>
  <si>
    <t>SOUF HASNAA</t>
  </si>
  <si>
    <t>RAHMI DRISS</t>
  </si>
  <si>
    <t>ATFI AMINE</t>
  </si>
  <si>
    <t>BASSITI NOREDDINE</t>
  </si>
  <si>
    <t>SANBI HICHAM</t>
  </si>
  <si>
    <t>TAZROUTE YASSINE</t>
  </si>
  <si>
    <t>BELAALLAM IMANE</t>
  </si>
  <si>
    <t>EL HADDAD TARIK</t>
  </si>
  <si>
    <t>MACHROUM DRISS</t>
  </si>
  <si>
    <t>OUHMIDOU MOHAMED</t>
  </si>
  <si>
    <t>BOUNOU AMINE</t>
  </si>
  <si>
    <t>ABOURABIA KHALID</t>
  </si>
  <si>
    <t>REDA M'BARK</t>
  </si>
  <si>
    <t>IDLHAJ ABDERRAHMANE</t>
  </si>
  <si>
    <t>JOUBARI RIDA</t>
  </si>
  <si>
    <t>EL HOR  ABDERRAHMANE</t>
  </si>
  <si>
    <t>BAGGAR BRAHIM</t>
  </si>
  <si>
    <t>MABROUK KHALIL</t>
  </si>
  <si>
    <t>NAJIM OMAR</t>
  </si>
  <si>
    <t>JOUANI MOHAMED</t>
  </si>
  <si>
    <t>BAHLA ABDELMAJID</t>
  </si>
  <si>
    <t>RAIDI AZIZ</t>
  </si>
  <si>
    <t>SABER ABDERRAHIM</t>
  </si>
  <si>
    <t>KERKCHE ABDELLATIF</t>
  </si>
  <si>
    <t>MAMOUNI MOHAMED</t>
  </si>
  <si>
    <t>EL ABBASSI EL IDRISSI ABDERRAZZAQ</t>
  </si>
  <si>
    <t>MARHRAOUI MERYEM</t>
  </si>
  <si>
    <t>LAMYESSER ABDELHAK</t>
  </si>
  <si>
    <t>EL BOUANANI EZ ZEMMOURI</t>
  </si>
  <si>
    <t>ABIDAR RACHID</t>
  </si>
  <si>
    <t>GHALI MOHAMED</t>
  </si>
  <si>
    <t>ELAISAOUAALI ABDELAZIZ</t>
  </si>
  <si>
    <t>EL AISSAWI ABDELLAH</t>
  </si>
  <si>
    <t>YAICH MUSTAPHA</t>
  </si>
  <si>
    <t>LAHMIRI BOUCHAIB</t>
  </si>
  <si>
    <t>MRHAR MOUSSA</t>
  </si>
  <si>
    <t>OUBOULLAH EL BACHIR</t>
  </si>
  <si>
    <t>BELLEFKHAKH MOHAMMED</t>
  </si>
  <si>
    <t>EL HAIMER SAID</t>
  </si>
  <si>
    <t>IZOUAD LHOUCINE</t>
  </si>
  <si>
    <t>AKBOUR ABDERRAHIM</t>
  </si>
  <si>
    <t>EL FATTOUMI DRISS</t>
  </si>
  <si>
    <t>CHAKIR FOUAD</t>
  </si>
  <si>
    <t>MOUKHALIT HASAN</t>
  </si>
  <si>
    <t>CHOUAIB REDOUANE</t>
  </si>
  <si>
    <t>AIT BIHI DAOUD MUSTAPHA</t>
  </si>
  <si>
    <t>AYAB AHMED</t>
  </si>
  <si>
    <t>LAROUACHE AMINA</t>
  </si>
  <si>
    <t>BOUTKAYOUT HICHAM</t>
  </si>
  <si>
    <t>ABOUAYAD EL IDRISSI KHALID</t>
  </si>
  <si>
    <t>TADILI MOHAMMED</t>
  </si>
  <si>
    <t>RAKIB YASSMINA</t>
  </si>
  <si>
    <t>BEN AILLA ADIL</t>
  </si>
  <si>
    <t>MOUADA MOULAY ABDELLAH</t>
  </si>
  <si>
    <t>OUBOUHOU MOSTAFA</t>
  </si>
  <si>
    <t>NASSIB HAMYD</t>
  </si>
  <si>
    <t>AZLAG AMINA</t>
  </si>
  <si>
    <t>SHISSEH AZIZ</t>
  </si>
  <si>
    <t>JOULALI LAHCEN</t>
  </si>
  <si>
    <t>CHNIGRI AZIZ</t>
  </si>
  <si>
    <t>AGGA BRAHIM</t>
  </si>
  <si>
    <t>LAHMAR KACEM</t>
  </si>
  <si>
    <t>ADIL BOUCHAIB</t>
  </si>
  <si>
    <t>DAHMANE BRAHIM</t>
  </si>
  <si>
    <t>GARGOUH HASSAN</t>
  </si>
  <si>
    <t>BLIBILA BOUCHAIB</t>
  </si>
  <si>
    <t>KHALLOUFY MOUSSA</t>
  </si>
  <si>
    <t>MRAGBANE ABDELHAK</t>
  </si>
  <si>
    <t>HIZZY EL MOSTAFA</t>
  </si>
  <si>
    <t>ABOULFATH AHMED</t>
  </si>
  <si>
    <t>BAHHAR KHALID</t>
  </si>
  <si>
    <t>DEMNATI SALAHEDDINE</t>
  </si>
  <si>
    <t>KANNOUR OUTMAN</t>
  </si>
  <si>
    <t>EL RHARB MOHAMED</t>
  </si>
  <si>
    <t>NADI AHMED</t>
  </si>
  <si>
    <t>DAROUI SAID</t>
  </si>
  <si>
    <t>ELMOQADDAM AZIZ</t>
  </si>
  <si>
    <t>MOUADNY MOHAMMED</t>
  </si>
  <si>
    <t>SADIK SALAHEDDINE</t>
  </si>
  <si>
    <t>RIDA ABDELMOUNIM</t>
  </si>
  <si>
    <t>ZITOUNI YOUSSEF</t>
  </si>
  <si>
    <t>ELABID BOUCHAIB</t>
  </si>
  <si>
    <t>SEKTAOUI BOUCHTA</t>
  </si>
  <si>
    <t>IMANSSAR MEHDI</t>
  </si>
  <si>
    <t>OCHKOR HAMZA</t>
  </si>
  <si>
    <t>ESSADEQ MOUHCIN</t>
  </si>
  <si>
    <t>EL AMRANI ABDELOUAHHAB</t>
  </si>
  <si>
    <t>BENSLAL MOHAMED</t>
  </si>
  <si>
    <t>DAABAJI RIDOUANE</t>
  </si>
  <si>
    <t>AYAD MOHAMED</t>
  </si>
  <si>
    <t>CHAALI AHMED</t>
  </si>
  <si>
    <t>HABACH EL MOSTAFA</t>
  </si>
  <si>
    <t>BENZOUARHIA BOUCHAIB</t>
  </si>
  <si>
    <t>EL KHALKI AHMED</t>
  </si>
  <si>
    <t>EL MELYANY ABDELKABIR</t>
  </si>
  <si>
    <t>JANANE ABDESSALAM</t>
  </si>
  <si>
    <t>KRIM MOSTAFA</t>
  </si>
  <si>
    <t>CHAMEKH HASSAN</t>
  </si>
  <si>
    <t>KHOUZAII EL BOUAZZAOUI</t>
  </si>
  <si>
    <t>KHALYL RADOUANE</t>
  </si>
  <si>
    <t>EL KACHOUANI LAHCEN</t>
  </si>
  <si>
    <t>AIT MOUDDAR ABDELKHALEK</t>
  </si>
  <si>
    <t>FTOUHI RAFIQ</t>
  </si>
  <si>
    <t>SOALI EL HOUSSINE</t>
  </si>
  <si>
    <t>LAMGHANI KHALID</t>
  </si>
  <si>
    <t>KANZITI EL BELRHITI AHMED</t>
  </si>
  <si>
    <t>KREIMI TAOUFIK</t>
  </si>
  <si>
    <t>BENCHERAIK OUALID</t>
  </si>
  <si>
    <t>GARAOUI AYOUB</t>
  </si>
  <si>
    <t>MOUMTAZ CHAIMAA</t>
  </si>
  <si>
    <t>MADMOUNE BOUAZZA</t>
  </si>
  <si>
    <t>HIMDI YASSINE</t>
  </si>
  <si>
    <t>EL AOUNI MOHAMED</t>
  </si>
  <si>
    <t>HAJJAJ ABDARAZZAK</t>
  </si>
  <si>
    <t>M'RHAR EL MOSTAFA</t>
  </si>
  <si>
    <t>EDDARHOUI FARID</t>
  </si>
  <si>
    <t>JAD HICHAM</t>
  </si>
  <si>
    <t>AFRIAD LAHOUCINE</t>
  </si>
  <si>
    <t>MESSOUK YOUSSEF</t>
  </si>
  <si>
    <t>JEMMI KHALID</t>
  </si>
  <si>
    <t>ABDELAATI MUSTAFA</t>
  </si>
  <si>
    <t>FAHIM SAID</t>
  </si>
  <si>
    <t>EL GAMRAOUI LEKBIR</t>
  </si>
  <si>
    <t>RIAD BRAHIM</t>
  </si>
  <si>
    <t>KASRAOUI MOHAMED</t>
  </si>
  <si>
    <t>GADOUH ISMAIL</t>
  </si>
  <si>
    <t>ABOUKI MOHAMMED</t>
  </si>
  <si>
    <t>BELASRI MOHAMED</t>
  </si>
  <si>
    <t>CHAKKOURI KADDOUR</t>
  </si>
  <si>
    <t>EL HILALI EL HASSAN</t>
  </si>
  <si>
    <t>ATOUAMA AHMED</t>
  </si>
  <si>
    <t>CHERIFI AZZOUZ</t>
  </si>
  <si>
    <t>SHAIBI SMAIL</t>
  </si>
  <si>
    <t>GHOURAIB ABDELLAH</t>
  </si>
  <si>
    <t>AZIM MOUNIR</t>
  </si>
  <si>
    <t>EL HASSANY MOURAD</t>
  </si>
  <si>
    <t>JRATLOU SALEM</t>
  </si>
  <si>
    <t>BARKA YOUSSEF</t>
  </si>
  <si>
    <t>KOURAYCH ABDELLAH</t>
  </si>
  <si>
    <t>NAFIA NASSIRI</t>
  </si>
  <si>
    <t>KHOUBANE ABDELLAH</t>
  </si>
  <si>
    <t>JADDAD EL MAHDI</t>
  </si>
  <si>
    <t>EL AMRI  MHAMED</t>
  </si>
  <si>
    <t>OUBELLA HASSAN</t>
  </si>
  <si>
    <t>KAHLAOUI ADIL</t>
  </si>
  <si>
    <t>MOUTAKI ABDELLATIF</t>
  </si>
  <si>
    <t>FIKRI OTHMAN</t>
  </si>
  <si>
    <t>HILI ALI</t>
  </si>
  <si>
    <t>EL ASRI NABIL</t>
  </si>
  <si>
    <t>BELKEDDIOUI MHAMMED</t>
  </si>
  <si>
    <t>HENANE AYOUB</t>
  </si>
  <si>
    <t>FAIZ YASSINE</t>
  </si>
  <si>
    <t>ESSAJAI NOUREDDINE</t>
  </si>
  <si>
    <t>OUZOUGLA MEHDI</t>
  </si>
  <si>
    <t>EL ALAMY YASSINE</t>
  </si>
  <si>
    <t>BAZI EL HADJ</t>
  </si>
  <si>
    <t>FAIDI HASSAN</t>
  </si>
  <si>
    <t>EL HAMSSE AHMED</t>
  </si>
  <si>
    <t>EDDAHBI MOHAMED</t>
  </si>
  <si>
    <t>BAHO ABDALLAH</t>
  </si>
  <si>
    <t>LEMBARKI BOUAZZA</t>
  </si>
  <si>
    <t>GOMMI JAOUAD</t>
  </si>
  <si>
    <t>ATOUAMA LARBI</t>
  </si>
  <si>
    <t>AIT ALLA OUALI MOHAMED</t>
  </si>
  <si>
    <t>CHELH OTHMANE</t>
  </si>
  <si>
    <t>SAIROUJ EL MOSTAFA</t>
  </si>
  <si>
    <t>LABHAJI KHALID</t>
  </si>
  <si>
    <t>EL MAI DRISS</t>
  </si>
  <si>
    <t>MOUHIEDDINE IMANE</t>
  </si>
  <si>
    <t>RACHADI SAID</t>
  </si>
  <si>
    <t>CHAANOUN SONDOS</t>
  </si>
  <si>
    <t>BAKADDOUR RATIB</t>
  </si>
  <si>
    <t>EL HAGGAR AZZEDINE</t>
  </si>
  <si>
    <t>EL HADDAOUI NABIL</t>
  </si>
  <si>
    <t>BOUCHRIH NAJOUA</t>
  </si>
  <si>
    <t>GUENNOUNI ABDERRAHIM</t>
  </si>
  <si>
    <t>CHARAR MAROUANE</t>
  </si>
  <si>
    <t>AMRANI ABDELFETTAH</t>
  </si>
  <si>
    <t>BOUTAKOURTE TARIK</t>
  </si>
  <si>
    <t>KARAM MOHAMED</t>
  </si>
  <si>
    <t>SALHI SENHAJI ABDERRAHIM</t>
  </si>
  <si>
    <t>ZRIMAQ HAMZA</t>
  </si>
  <si>
    <t>MOKHLISS ABDELFATTAH</t>
  </si>
  <si>
    <t>ZAHIR YOUSSEF</t>
  </si>
  <si>
    <t>HACHLAF MOHAMMED</t>
  </si>
  <si>
    <t>AIT EL CADI AYOUB</t>
  </si>
  <si>
    <t>DAAMOUCHE AYOUB</t>
  </si>
  <si>
    <t>ENNASSIRI AZZEDINE</t>
  </si>
  <si>
    <t>LAHMADI MESSAOUD</t>
  </si>
  <si>
    <t>BENSOLAIH JAOUAD</t>
  </si>
  <si>
    <t>BOUSETTAH ABDELLAH</t>
  </si>
  <si>
    <t>SAMAOUATE MOUHCINE</t>
  </si>
  <si>
    <t>ESSABERY ILYAS</t>
  </si>
  <si>
    <t>NSAIRI OTHMANE</t>
  </si>
  <si>
    <t>AGBI MAROUANE</t>
  </si>
  <si>
    <t>ES-SALMANY  KHALID</t>
  </si>
  <si>
    <t>EL GNAOUI YASSER</t>
  </si>
  <si>
    <t>AKAZZOU MUSTAPHA</t>
  </si>
  <si>
    <t>MOULOUADE KHALID</t>
  </si>
  <si>
    <t>HAMDAN BILAL</t>
  </si>
  <si>
    <t>LAGRAINI MOUAD</t>
  </si>
  <si>
    <t>AIT ALI RACHID</t>
  </si>
  <si>
    <t>ZAAZOUI NAOUAL</t>
  </si>
  <si>
    <t>MAIET YOUNESS</t>
  </si>
  <si>
    <t>BENKIRANE MOHAMMED</t>
  </si>
  <si>
    <t>ABARHANE MARYEM</t>
  </si>
  <si>
    <t>BAHOU HAMZA</t>
  </si>
  <si>
    <t>OUWAGOU HASSAN</t>
  </si>
  <si>
    <t>YACINE AKRAM</t>
  </si>
  <si>
    <t>LAARABI TARIK</t>
  </si>
  <si>
    <t>TOUZANI ZOUHEIR</t>
  </si>
  <si>
    <t>TALBI REDOUANE</t>
  </si>
  <si>
    <t>EL HAOUZI MOHAMMED</t>
  </si>
  <si>
    <t>HDIA MARYEM</t>
  </si>
  <si>
    <t>AYMEN ABDERRAHIM</t>
  </si>
  <si>
    <t>RGUID ABDELGHANI</t>
  </si>
  <si>
    <t>ESSAYEDI RABII</t>
  </si>
  <si>
    <t>MRICHA HAMZA</t>
  </si>
  <si>
    <t>CHERRAF ANAS</t>
  </si>
  <si>
    <t>EL HASSANI MOHAMED</t>
  </si>
  <si>
    <t>TOUNSADI ZOUHAIR ACHRAF</t>
  </si>
  <si>
    <t>SABRI ASMAA</t>
  </si>
  <si>
    <t>FAQIR MOHAMMED AMINE</t>
  </si>
  <si>
    <t>LOUARTI SOUFIANE</t>
  </si>
  <si>
    <t>AGHLANE AHMED</t>
  </si>
  <si>
    <t>RHARIB ABDELKHALEK</t>
  </si>
  <si>
    <t>BOUAZIZ EL MAHDI</t>
  </si>
  <si>
    <t>HARROU MOHAMED</t>
  </si>
  <si>
    <t>OUBARIR HAMZA</t>
  </si>
  <si>
    <t>BOUALEM MOURAD</t>
  </si>
  <si>
    <t>AIT BRAIM MOHAMED</t>
  </si>
  <si>
    <t>ALLAOUI MOHAMMED</t>
  </si>
  <si>
    <t>NAJMI ZAKARIAE</t>
  </si>
  <si>
    <t>ZOHARI EL HASSAN</t>
  </si>
  <si>
    <t>LAHSINI ABDELFATTAH</t>
  </si>
  <si>
    <t>GUENNOUI MERIEM</t>
  </si>
  <si>
    <t>ZAYTOUNI SAID</t>
  </si>
  <si>
    <t>EL BARMAKI ABDELILAH</t>
  </si>
  <si>
    <t>CHOUQAIRI ABDERRAHIM</t>
  </si>
  <si>
    <t>GARRAOU EL MEHDI</t>
  </si>
  <si>
    <t>HAHOU MUSTAPHA</t>
  </si>
  <si>
    <t>AOUTIL MOHAMED</t>
  </si>
  <si>
    <t>ABDOU KHALID</t>
  </si>
  <si>
    <t>SKALLI ISMAIL</t>
  </si>
  <si>
    <t>ABOURAHIM MOHAMMED</t>
  </si>
  <si>
    <t>RIDA ABDELOUAHAD</t>
  </si>
  <si>
    <t>AJJAMID ABDERRAHMAN</t>
  </si>
  <si>
    <t>BOULAHDID JIHANE</t>
  </si>
  <si>
    <t>SERHANE DOHA</t>
  </si>
  <si>
    <t>LAKHAL NABIL</t>
  </si>
  <si>
    <t>SAJID YOUSSEF</t>
  </si>
  <si>
    <t>AIT DADDALI ABDELHADI</t>
  </si>
  <si>
    <t>EL HABBOUCH TARIK</t>
  </si>
  <si>
    <t>SNAH AMAL</t>
  </si>
  <si>
    <t>AZEMZ ABDELOUAHAB</t>
  </si>
  <si>
    <t>EL MOUFTAQUIR ILIACE</t>
  </si>
  <si>
    <t>AOUZIOUI ASMAA</t>
  </si>
  <si>
    <t>LAMIAA KAOUTAR</t>
  </si>
  <si>
    <t>OUAHIB AMINA</t>
  </si>
  <si>
    <t>ABOU EL FARAJ ABDELHAK</t>
  </si>
  <si>
    <t>NAFKI RIDA</t>
  </si>
  <si>
    <t>CHELKHA YOUSSRA</t>
  </si>
  <si>
    <t>GLIOUINE BRAHIM</t>
  </si>
  <si>
    <t>Matricule</t>
  </si>
  <si>
    <t xml:space="preserve">aazlag@ssd.ma </t>
  </si>
  <si>
    <t>Azlag Amina</t>
  </si>
  <si>
    <t>Ennassiri Azzeddine</t>
  </si>
  <si>
    <t>aennassiri@ssd.ma</t>
  </si>
  <si>
    <t>El Fchtali Randa</t>
  </si>
  <si>
    <t>relfchtali@ssd.ma</t>
  </si>
  <si>
    <t>Abourabia Khalid</t>
  </si>
  <si>
    <t xml:space="preserve">kabourabia@ssd.ma </t>
  </si>
  <si>
    <t xml:space="preserve">aadraoui@ssd.ma </t>
  </si>
  <si>
    <t xml:space="preserve">maitbraim@ssd.ma </t>
  </si>
  <si>
    <t xml:space="preserve">ssd_metallurgie@ssd.ma </t>
  </si>
  <si>
    <t>_</t>
  </si>
  <si>
    <t xml:space="preserve">tamine@ssd.ma </t>
  </si>
  <si>
    <t xml:space="preserve">rantalik@ssd.ma </t>
  </si>
  <si>
    <t xml:space="preserve">aaouzioui@ssd.ma </t>
  </si>
  <si>
    <t xml:space="preserve">aatfi@ssd.ma </t>
  </si>
  <si>
    <t xml:space="preserve">sbahhar@ssd.ma </t>
  </si>
  <si>
    <t xml:space="preserve">nbassiti@ssd.ma </t>
  </si>
  <si>
    <t xml:space="preserve">ibelallam@ssd.ma </t>
  </si>
  <si>
    <t xml:space="preserve">mbelasri@.ssdma </t>
  </si>
  <si>
    <t xml:space="preserve">cbenachour@ssd.ma </t>
  </si>
  <si>
    <t xml:space="preserve">mbenbella@ssd.ma </t>
  </si>
  <si>
    <t xml:space="preserve">mbenkirane@ssd.ma </t>
  </si>
  <si>
    <t xml:space="preserve">mboualem@ssd.ma </t>
  </si>
  <si>
    <t xml:space="preserve">nbouchrih@ssd.ma </t>
  </si>
  <si>
    <t xml:space="preserve">aboumal@ssd.ma </t>
  </si>
  <si>
    <t xml:space="preserve">abounou@ssd.ma </t>
  </si>
  <si>
    <t xml:space="preserve">abousettah@ssd.ma </t>
  </si>
  <si>
    <t xml:space="preserve">mboutmezguine@ssd.ma </t>
  </si>
  <si>
    <t xml:space="preserve">schaanoun@ssd.ma </t>
  </si>
  <si>
    <t xml:space="preserve">fchakir@ssd.ma </t>
  </si>
  <si>
    <t xml:space="preserve">ychalekha@ssd.ma </t>
  </si>
  <si>
    <t xml:space="preserve">acherraf@ssd.ma </t>
  </si>
  <si>
    <t xml:space="preserve">adaamouche@ssd.ma </t>
  </si>
  <si>
    <t xml:space="preserve">mossisa@ssd.ma </t>
  </si>
  <si>
    <t xml:space="preserve">hdarnif@ssd.ma </t>
  </si>
  <si>
    <t xml:space="preserve">heddarbani@ssd.ma </t>
  </si>
  <si>
    <t xml:space="preserve">hediani@ssd.ma </t>
  </si>
  <si>
    <t xml:space="preserve">aelamrani@ssd.ma </t>
  </si>
  <si>
    <t xml:space="preserve">nelazouzi@ssd.ma </t>
  </si>
  <si>
    <t xml:space="preserve">kelbalaili@ssd.ma </t>
  </si>
  <si>
    <t xml:space="preserve">melfekir@ssd.ma </t>
  </si>
  <si>
    <t xml:space="preserve">aelhaggar@ssd.ma </t>
  </si>
  <si>
    <t xml:space="preserve">melhaouzi@ssd.ma </t>
  </si>
  <si>
    <t xml:space="preserve">ielidrissi@ssd.ma </t>
  </si>
  <si>
    <t xml:space="preserve">selhaimer@ssd.ma </t>
  </si>
  <si>
    <t xml:space="preserve">ressaidy@ssd.ma </t>
  </si>
  <si>
    <t xml:space="preserve">aezzaou@ssd.ma </t>
  </si>
  <si>
    <t xml:space="preserve">aezzerari@ssd.ma </t>
  </si>
  <si>
    <t xml:space="preserve">sfarid@ssd.ma </t>
  </si>
  <si>
    <t xml:space="preserve">lfassifihri@ssd.ma </t>
  </si>
  <si>
    <t xml:space="preserve">afathallah@ssd.ma </t>
  </si>
  <si>
    <t xml:space="preserve">tdatihi@ssd.ma </t>
  </si>
  <si>
    <t xml:space="preserve">bwfilali@ssd.ma </t>
  </si>
  <si>
    <t xml:space="preserve">aghouraib@ssd.ma </t>
  </si>
  <si>
    <t xml:space="preserve"> </t>
  </si>
  <si>
    <t xml:space="preserve">ohamadi@ssd.ma </t>
  </si>
  <si>
    <t xml:space="preserve">hhanoun@ssd.ma </t>
  </si>
  <si>
    <t xml:space="preserve">mhdia@ssd.ma </t>
  </si>
  <si>
    <t xml:space="preserve">ahenane@ssd.ma </t>
  </si>
  <si>
    <t xml:space="preserve">mimanssar@ssd.ma </t>
  </si>
  <si>
    <t xml:space="preserve">ymeait@ssd.ma </t>
  </si>
  <si>
    <t xml:space="preserve">lmahjabi@ssd.ma </t>
  </si>
  <si>
    <t xml:space="preserve">hkamal@ssd.ma </t>
  </si>
  <si>
    <t xml:space="preserve">okannour@ssd.ma </t>
  </si>
  <si>
    <t xml:space="preserve">nkhairi@ssd.ma </t>
  </si>
  <si>
    <t xml:space="preserve">mlafdili@ssd.ma </t>
  </si>
  <si>
    <t xml:space="preserve">ylagaoui@ssd.ma </t>
  </si>
  <si>
    <t xml:space="preserve">klamiaa@ssd.ma </t>
  </si>
  <si>
    <t xml:space="preserve">alarouache@ssd.ma </t>
  </si>
  <si>
    <t xml:space="preserve">alembarki@ssd.ma </t>
  </si>
  <si>
    <t xml:space="preserve">slouarti@ssd.ma </t>
  </si>
  <si>
    <t xml:space="preserve">mmachhour@ssd.ma </t>
  </si>
  <si>
    <t xml:space="preserve">mmarhraoui@ssd.ma </t>
  </si>
  <si>
    <t xml:space="preserve">asnah@ssd.ma </t>
  </si>
  <si>
    <t xml:space="preserve">mguennoui@ssd.ma </t>
  </si>
  <si>
    <t xml:space="preserve">maoutil@ssd.ma </t>
  </si>
  <si>
    <t xml:space="preserve">imouhieddine@ssd.ma </t>
  </si>
  <si>
    <t xml:space="preserve">cmoumtaz@ssd.ma </t>
  </si>
  <si>
    <t xml:space="preserve">mmzaki@ssd.ma </t>
  </si>
  <si>
    <t xml:space="preserve">ynaji@ssd.ma </t>
  </si>
  <si>
    <t xml:space="preserve">aomari@ssd.ma </t>
  </si>
  <si>
    <t xml:space="preserve">mouhmidou@ssd.ma </t>
  </si>
  <si>
    <t xml:space="preserve">frahmouni@ssd.ma </t>
  </si>
  <si>
    <t xml:space="preserve">yrakib@ssd.ma </t>
  </si>
  <si>
    <t xml:space="preserve">mreda@ssd.ma </t>
  </si>
  <si>
    <t xml:space="preserve">asabri@ssd.ma </t>
  </si>
  <si>
    <t xml:space="preserve">msadik@ssd.ma </t>
  </si>
  <si>
    <t xml:space="preserve">msamaouate@ssd.ma </t>
  </si>
  <si>
    <t xml:space="preserve">dserhane@ssd.ma </t>
  </si>
  <si>
    <t xml:space="preserve">iskalli@ssd.ma </t>
  </si>
  <si>
    <t xml:space="preserve">hsouf@ssd.ma </t>
  </si>
  <si>
    <t xml:space="preserve">mtahir@ssd.ma </t>
  </si>
  <si>
    <t xml:space="preserve">htaib@ssd.ma </t>
  </si>
  <si>
    <t xml:space="preserve">mtanarait@ssd.ma </t>
  </si>
  <si>
    <t xml:space="preserve">ytazroute@ssd.ma </t>
  </si>
  <si>
    <t xml:space="preserve">ztounsadi@ssd.ma </t>
  </si>
  <si>
    <t xml:space="preserve">ztouzani@ssd.ma </t>
  </si>
  <si>
    <t xml:space="preserve">nzaazoui@ssd.ma </t>
  </si>
  <si>
    <t xml:space="preserve">znajmi@ssd.ma </t>
  </si>
  <si>
    <t xml:space="preserve">szanrhour@ssd.ma </t>
  </si>
  <si>
    <t xml:space="preserve">szehaf@ssd.ma </t>
  </si>
  <si>
    <t xml:space="preserve">yzitouni@ssd.ma </t>
  </si>
  <si>
    <t xml:space="preserve">hgargouh@ssd.ma </t>
  </si>
  <si>
    <t xml:space="preserve">drahmi@ssd.ma </t>
  </si>
  <si>
    <t xml:space="preserve">ielmouftaquir@ssd.ma </t>
  </si>
  <si>
    <t xml:space="preserve">aazemz@ssd.ma </t>
  </si>
  <si>
    <t xml:space="preserve">mazim@ssd.ma </t>
  </si>
  <si>
    <t xml:space="preserve">delmai@ssd.ma </t>
  </si>
  <si>
    <t xml:space="preserve">aelaisaouaali@ssd.ma </t>
  </si>
  <si>
    <t xml:space="preserve">messadeq@ssd.ma </t>
  </si>
  <si>
    <t xml:space="preserve">ofikri@ssd.ma </t>
  </si>
  <si>
    <t xml:space="preserve">ssadik@ssd.ma </t>
  </si>
  <si>
    <t xml:space="preserve">aamrani@ssd.ma </t>
  </si>
  <si>
    <t xml:space="preserve">yfaiz@ssd.ma </t>
  </si>
  <si>
    <t xml:space="preserve">mharrou@ssd.ma </t>
  </si>
  <si>
    <t xml:space="preserve">rabidar@ssd.ma </t>
  </si>
  <si>
    <t xml:space="preserve">maitalla@ssd.ma </t>
  </si>
  <si>
    <t xml:space="preserve">aguennouni@ssd.ma </t>
  </si>
  <si>
    <t xml:space="preserve">mlagraini@ssd.ma </t>
  </si>
  <si>
    <t xml:space="preserve">nlakhal@ssd.ma </t>
  </si>
  <si>
    <t>Bousettah Abdellah</t>
  </si>
  <si>
    <t>Ait El Cadi Ayoub</t>
  </si>
  <si>
    <t>Standariste</t>
  </si>
  <si>
    <t>Ossisa mohamed</t>
  </si>
  <si>
    <t>iassissou@ssd.ma</t>
  </si>
  <si>
    <t>Maeit Youness</t>
  </si>
  <si>
    <t>Boulahdid Jihane</t>
  </si>
  <si>
    <t>Aoutil Mohamed</t>
  </si>
  <si>
    <t>Mbarek Reda</t>
  </si>
  <si>
    <t>Tanarait Mostafa</t>
  </si>
  <si>
    <t>Tahir Mostafa</t>
  </si>
  <si>
    <t>Najmi Zakaria</t>
  </si>
  <si>
    <t>Zanrhour Samir</t>
  </si>
  <si>
    <t>Elmouftaquir Iliace</t>
  </si>
  <si>
    <t xml:space="preserve">Laboratoire </t>
  </si>
  <si>
    <t>Hassani Mohamed</t>
  </si>
  <si>
    <t xml:space="preserve">Fikri Othman </t>
  </si>
  <si>
    <t>0641-99-36-04</t>
  </si>
  <si>
    <t>Allouch Lahcen</t>
  </si>
  <si>
    <t>Touhfa Boubker</t>
  </si>
  <si>
    <t>Sanbi Hicham</t>
  </si>
  <si>
    <t xml:space="preserve">Hadane Abdeljabbar </t>
  </si>
  <si>
    <t>Bakaddour Ratib</t>
  </si>
  <si>
    <t>Arriri Abdelhadi</t>
  </si>
  <si>
    <t>Battah Abdelaziz</t>
  </si>
  <si>
    <t>El Hani Rachid</t>
  </si>
  <si>
    <t>El moumene Rabah</t>
  </si>
  <si>
    <t>0641-99-36-44</t>
  </si>
  <si>
    <t>*7101</t>
  </si>
  <si>
    <t>Lakhdira Adil</t>
  </si>
  <si>
    <t>ACCESSOIRE SAADA</t>
  </si>
  <si>
    <t>*7594</t>
  </si>
  <si>
    <t>0522-40-83-90</t>
  </si>
  <si>
    <t>ACTO METAL</t>
  </si>
  <si>
    <t>*7626</t>
  </si>
  <si>
    <t>05-29-02-53-74/75</t>
  </si>
  <si>
    <t>ADLER</t>
  </si>
  <si>
    <t>*7313</t>
  </si>
  <si>
    <t>00-33344464242</t>
  </si>
  <si>
    <t>ADRIANO</t>
  </si>
  <si>
    <t>*7210</t>
  </si>
  <si>
    <t>0539-80-94-59</t>
  </si>
  <si>
    <t>AFMA</t>
  </si>
  <si>
    <t>*7411</t>
  </si>
  <si>
    <t>0522-42-80-00</t>
  </si>
  <si>
    <t>AFOUD</t>
  </si>
  <si>
    <t>*7755</t>
  </si>
  <si>
    <t>0522-37-80-80</t>
  </si>
  <si>
    <t>AFRIC LIGHT</t>
  </si>
  <si>
    <t>*7666</t>
  </si>
  <si>
    <t>0523-48-98-23</t>
  </si>
  <si>
    <t>AFRIQUIA</t>
  </si>
  <si>
    <t>*7162</t>
  </si>
  <si>
    <t>0522-67-77-88</t>
  </si>
  <si>
    <t>*7756</t>
  </si>
  <si>
    <t>0522-67-77-44</t>
  </si>
  <si>
    <t>AFRIC ROULEMENT</t>
  </si>
  <si>
    <t>061733-83-43</t>
  </si>
  <si>
    <t>*7431</t>
  </si>
  <si>
    <t>AGMA</t>
  </si>
  <si>
    <t>*7695</t>
  </si>
  <si>
    <t>0522-48-80-50</t>
  </si>
  <si>
    <t>AIC META</t>
  </si>
  <si>
    <t>*7495</t>
  </si>
  <si>
    <t>0537-37-89-37</t>
  </si>
  <si>
    <t>AIR LIQUIDE</t>
  </si>
  <si>
    <t>*7335</t>
  </si>
  <si>
    <t>0677-07-72-22</t>
  </si>
  <si>
    <t>*7312</t>
  </si>
  <si>
    <t>AIR WAFA MAROC</t>
  </si>
  <si>
    <t>*7527</t>
  </si>
  <si>
    <t>0539-39-47-95</t>
  </si>
  <si>
    <t>ALIF METAL</t>
  </si>
  <si>
    <t>0661-44-84-04</t>
  </si>
  <si>
    <t>*7641</t>
  </si>
  <si>
    <t>ALO METAL</t>
  </si>
  <si>
    <t>*7622</t>
  </si>
  <si>
    <t>0522-65-23-79</t>
  </si>
  <si>
    <t>ANAPEC</t>
  </si>
  <si>
    <t>*7206</t>
  </si>
  <si>
    <t>0522-66-41-92</t>
  </si>
  <si>
    <t>ARAB CONTRACTORS</t>
  </si>
  <si>
    <t>*7157</t>
  </si>
  <si>
    <t>0522-26-61-83</t>
  </si>
  <si>
    <t>ARCELOR</t>
  </si>
  <si>
    <t>*7450</t>
  </si>
  <si>
    <t>0522-74-96-00</t>
  </si>
  <si>
    <t>ARCELOR INTERNATINAL</t>
  </si>
  <si>
    <t>*7516</t>
  </si>
  <si>
    <t>0522-74-96-04</t>
  </si>
  <si>
    <t>ARCHIRODAN</t>
  </si>
  <si>
    <t>*7507</t>
  </si>
  <si>
    <t>0523-38-98-00</t>
  </si>
  <si>
    <t>ARMA+</t>
  </si>
  <si>
    <t>*7125</t>
  </si>
  <si>
    <t>00-333240920554</t>
  </si>
  <si>
    <t xml:space="preserve">ATELIER TEULI </t>
  </si>
  <si>
    <t>0661-34-66-53</t>
  </si>
  <si>
    <t>*7509</t>
  </si>
  <si>
    <t>ATOMAT</t>
  </si>
  <si>
    <t>*7502</t>
  </si>
  <si>
    <t>00-33-6-38-13-19-69</t>
  </si>
  <si>
    <t>ATOMAT Italie</t>
  </si>
  <si>
    <t>*7539</t>
  </si>
  <si>
    <t>00-39-04-32-64-85-29</t>
  </si>
  <si>
    <t xml:space="preserve">ATOMAT </t>
  </si>
  <si>
    <t>MR. HERNANDEZ</t>
  </si>
  <si>
    <t>00-33-67-34-81-362</t>
  </si>
  <si>
    <t>*7534</t>
  </si>
  <si>
    <t>ATP</t>
  </si>
  <si>
    <t>*7315</t>
  </si>
  <si>
    <t>0522-44-64-89</t>
  </si>
  <si>
    <t>ATTIJARI WAFABANK</t>
  </si>
  <si>
    <t>*7069</t>
  </si>
  <si>
    <t>0522-54-54-54</t>
  </si>
  <si>
    <t>AUTO NEJMA</t>
  </si>
  <si>
    <t>*7314</t>
  </si>
  <si>
    <t>0522-65-09-90</t>
  </si>
  <si>
    <t>AUXITEC</t>
  </si>
  <si>
    <t>*7054</t>
  </si>
  <si>
    <t>05-37-76-52-92</t>
  </si>
  <si>
    <t>AWM</t>
  </si>
  <si>
    <t>*7021</t>
  </si>
  <si>
    <t>00-390432780311</t>
  </si>
  <si>
    <t>BENNE MARELLE</t>
  </si>
  <si>
    <t>*7375</t>
  </si>
  <si>
    <t>0522-66-66-55</t>
  </si>
  <si>
    <t>BERENGER</t>
  </si>
  <si>
    <t>*7559</t>
  </si>
  <si>
    <t>0522-63-37-66</t>
  </si>
  <si>
    <t>BEST CONTROL</t>
  </si>
  <si>
    <t>*7574</t>
  </si>
  <si>
    <t>0522-54-15-41</t>
  </si>
  <si>
    <t>BMCE</t>
  </si>
  <si>
    <t>*7015</t>
  </si>
  <si>
    <t>0522-49-83-96</t>
  </si>
  <si>
    <t>BMCI</t>
  </si>
  <si>
    <t>*7019</t>
  </si>
  <si>
    <t>0522-22-41-61</t>
  </si>
  <si>
    <t>BUDGET</t>
  </si>
  <si>
    <t>*7627</t>
  </si>
  <si>
    <t>05-20-150-888</t>
  </si>
  <si>
    <t>*7696</t>
  </si>
  <si>
    <t>31-31-24</t>
  </si>
  <si>
    <t>BUREAU CENTER</t>
  </si>
  <si>
    <t>*7243</t>
  </si>
  <si>
    <t>0522-44-48-87</t>
  </si>
  <si>
    <t>BONINOX</t>
  </si>
  <si>
    <t>*7284</t>
  </si>
  <si>
    <t>0522-24-30-56</t>
  </si>
  <si>
    <t>CAAB</t>
  </si>
  <si>
    <t>*7040</t>
  </si>
  <si>
    <t>00-39-05-92-81-370</t>
  </si>
  <si>
    <t>CADIHAK</t>
  </si>
  <si>
    <t>*7791</t>
  </si>
  <si>
    <t>0522-35-06-00</t>
  </si>
  <si>
    <t>CAPFI</t>
  </si>
  <si>
    <t>*7672</t>
  </si>
  <si>
    <t>40-73-74</t>
  </si>
  <si>
    <t>CARREFOUR PRINT</t>
  </si>
  <si>
    <t>M.NOUREDINE</t>
  </si>
  <si>
    <t>0663-56-09-03</t>
  </si>
  <si>
    <t>*7580</t>
  </si>
  <si>
    <t>CEGELEC</t>
  </si>
  <si>
    <t>*7637</t>
  </si>
  <si>
    <t>63-93-93</t>
  </si>
  <si>
    <t>CEMA BOIS DE L'ATLAS</t>
  </si>
  <si>
    <t>*7142</t>
  </si>
  <si>
    <t>0522-95-98-00</t>
  </si>
  <si>
    <t>CIQS</t>
  </si>
  <si>
    <t>*7244</t>
  </si>
  <si>
    <t>0522-66-01-31</t>
  </si>
  <si>
    <t>CLEAN TEMP</t>
  </si>
  <si>
    <t>*7232</t>
  </si>
  <si>
    <t>0522-49-03-53</t>
  </si>
  <si>
    <t>CLINIQUE CALIFORNIE</t>
  </si>
  <si>
    <t>*7543</t>
  </si>
  <si>
    <t>0522-50-80-80</t>
  </si>
  <si>
    <t>CMPE</t>
  </si>
  <si>
    <t>0524-61-19-61</t>
  </si>
  <si>
    <t>COGEVE</t>
  </si>
  <si>
    <t>*7477</t>
  </si>
  <si>
    <t>0522-23-56-19</t>
  </si>
  <si>
    <t>COMAPROM</t>
  </si>
  <si>
    <t>*7103</t>
  </si>
  <si>
    <t>0522-35-54-75</t>
  </si>
  <si>
    <t>COMARBOIS</t>
  </si>
  <si>
    <t>0661-14-64-47</t>
  </si>
  <si>
    <t>*7790</t>
  </si>
  <si>
    <t>COMICOM</t>
  </si>
  <si>
    <t>*7488</t>
  </si>
  <si>
    <t>0522-76-45-45</t>
  </si>
  <si>
    <t>CONFORAMA</t>
  </si>
  <si>
    <t>*7462</t>
  </si>
  <si>
    <t>0537-64-34-06</t>
  </si>
  <si>
    <t>CONTRELAB</t>
  </si>
  <si>
    <t>*7153</t>
  </si>
  <si>
    <t>00-33149489450</t>
  </si>
  <si>
    <t>*7123</t>
  </si>
  <si>
    <t>00-331494899785</t>
  </si>
  <si>
    <t>CONCEPT ETUDE</t>
  </si>
  <si>
    <t>*7796</t>
  </si>
  <si>
    <t>0522-31-97-95</t>
  </si>
  <si>
    <t>CREDIT DU MAROC</t>
  </si>
  <si>
    <t>*7025</t>
  </si>
  <si>
    <t>0522-35-57-80</t>
  </si>
  <si>
    <t>CTH</t>
  </si>
  <si>
    <t>*7023</t>
  </si>
  <si>
    <t>0537-81-00-84</t>
  </si>
  <si>
    <t>0537-81-00-85</t>
  </si>
  <si>
    <t>Docteur ATIF</t>
  </si>
  <si>
    <t>06-60-16-31-97</t>
  </si>
  <si>
    <t>*7249</t>
  </si>
  <si>
    <t>0522-70-73-23</t>
  </si>
  <si>
    <t>D.V.P</t>
  </si>
  <si>
    <t>*7033</t>
  </si>
  <si>
    <t>00-34932983116</t>
  </si>
  <si>
    <t>DEKRA EXPERTEC</t>
  </si>
  <si>
    <t>*7575</t>
  </si>
  <si>
    <t>0522-40-19-92</t>
  </si>
  <si>
    <t>DELLATRE</t>
  </si>
  <si>
    <t>*7600</t>
  </si>
  <si>
    <t>05-22-66-96-00</t>
  </si>
  <si>
    <t>DETAIL INOX</t>
  </si>
  <si>
    <t>*7041</t>
  </si>
  <si>
    <t>0522-60-13-43</t>
  </si>
  <si>
    <t>DHL</t>
  </si>
  <si>
    <t>*7616</t>
  </si>
  <si>
    <t>0522-97-20-20</t>
  </si>
  <si>
    <t>ELCOTRAM</t>
  </si>
  <si>
    <t>0661-82-03-52</t>
  </si>
  <si>
    <t>*7623</t>
  </si>
  <si>
    <t>ENERGY TRANSFO</t>
  </si>
  <si>
    <t>*7390</t>
  </si>
  <si>
    <t>0522-66-27-44</t>
  </si>
  <si>
    <t>EPGA</t>
  </si>
  <si>
    <t>*7694</t>
  </si>
  <si>
    <t>0522-22-13-01</t>
  </si>
  <si>
    <t>EQUIPPEMENT OUARZAZATE</t>
  </si>
  <si>
    <t>*7529</t>
  </si>
  <si>
    <t>0524-88-44-11</t>
  </si>
  <si>
    <t>ETAF</t>
  </si>
  <si>
    <t>*7067</t>
  </si>
  <si>
    <t>05-22-66-00-14</t>
  </si>
  <si>
    <t>ETIJTRAD</t>
  </si>
  <si>
    <t>*7131</t>
  </si>
  <si>
    <t>0535-52-64-24</t>
  </si>
  <si>
    <t>EURO BENNE</t>
  </si>
  <si>
    <t>*7631</t>
  </si>
  <si>
    <t>0522-76-76-77</t>
  </si>
  <si>
    <t>EUROLLS</t>
  </si>
  <si>
    <t>*7323</t>
  </si>
  <si>
    <t>00-390432796511</t>
  </si>
  <si>
    <t>EVG</t>
  </si>
  <si>
    <t>*7138</t>
  </si>
  <si>
    <t>00-4331640050</t>
  </si>
  <si>
    <t>EXPER ENERGY</t>
  </si>
  <si>
    <t>*7506</t>
  </si>
  <si>
    <t>0537-37-02-78</t>
  </si>
  <si>
    <t>EXPERT OUAZZANI</t>
  </si>
  <si>
    <t>0661-66-28-23</t>
  </si>
  <si>
    <t>*7383</t>
  </si>
  <si>
    <t>EXTRA BENNE</t>
  </si>
  <si>
    <t>*7320</t>
  </si>
  <si>
    <t>0537-74-54-35</t>
  </si>
  <si>
    <t>*7579</t>
  </si>
  <si>
    <t>0522-34-19-19</t>
  </si>
  <si>
    <t>EXTRAVIS</t>
  </si>
  <si>
    <t>0653-58-48-12</t>
  </si>
  <si>
    <t>*7603</t>
  </si>
  <si>
    <t>FABRINOV</t>
  </si>
  <si>
    <t>*7621</t>
  </si>
  <si>
    <t>0522-75-01-11</t>
  </si>
  <si>
    <t>FAREP</t>
  </si>
  <si>
    <t>0664-60-68-66</t>
  </si>
  <si>
    <t>*7648</t>
  </si>
  <si>
    <t>FORAMAG</t>
  </si>
  <si>
    <t>*7652</t>
  </si>
  <si>
    <t>0522-63-82-43</t>
  </si>
  <si>
    <t>FORPOMEL</t>
  </si>
  <si>
    <t>0661-28-03-33</t>
  </si>
  <si>
    <t>*7526</t>
  </si>
  <si>
    <t>FREEBOC</t>
  </si>
  <si>
    <t>*7669</t>
  </si>
  <si>
    <t>67-22-24</t>
  </si>
  <si>
    <t>61-43-04-78</t>
  </si>
  <si>
    <t>*7678</t>
  </si>
  <si>
    <t>FUTUR FER</t>
  </si>
  <si>
    <t>*7670</t>
  </si>
  <si>
    <t>0522-89-88-09</t>
  </si>
  <si>
    <t>FRAMATIC</t>
  </si>
  <si>
    <t>*7625</t>
  </si>
  <si>
    <t>0522-96-30-53</t>
  </si>
  <si>
    <t>*7758</t>
  </si>
  <si>
    <t>0522-24-59-79</t>
  </si>
  <si>
    <t>GALVAFER</t>
  </si>
  <si>
    <t>*7654</t>
  </si>
  <si>
    <t>0522-67-46-30</t>
  </si>
  <si>
    <t>GEROA</t>
  </si>
  <si>
    <t>*7318</t>
  </si>
  <si>
    <t>0523*28-48-71</t>
  </si>
  <si>
    <t>GILMAR FER</t>
  </si>
  <si>
    <t>*7116</t>
  </si>
  <si>
    <t>0522-35-63-95</t>
  </si>
  <si>
    <t>GOFER</t>
  </si>
  <si>
    <t>*7484</t>
  </si>
  <si>
    <t>0523-58-66-50</t>
  </si>
  <si>
    <t>GPS G4</t>
  </si>
  <si>
    <t>*7016</t>
  </si>
  <si>
    <t>0522-49-74-00</t>
  </si>
  <si>
    <t>GRAND BAZARD</t>
  </si>
  <si>
    <t>*7674</t>
  </si>
  <si>
    <t>73-61-70</t>
  </si>
  <si>
    <t xml:space="preserve">GRIMAR </t>
  </si>
  <si>
    <t>*7338</t>
  </si>
  <si>
    <t>0522-33-24-49</t>
  </si>
  <si>
    <t>Mr. FILALI</t>
  </si>
  <si>
    <t>0663-05-45-87</t>
  </si>
  <si>
    <t>*7458</t>
  </si>
  <si>
    <t>GROUPE SAFARI</t>
  </si>
  <si>
    <t>*7562</t>
  </si>
  <si>
    <t>0522-26-16-66</t>
  </si>
  <si>
    <t>*7052</t>
  </si>
  <si>
    <t>0522-27-94-58/59</t>
  </si>
  <si>
    <t>*7100</t>
  </si>
  <si>
    <t>0522-26-46-68</t>
  </si>
  <si>
    <t xml:space="preserve"> HACHANI E/SE</t>
  </si>
  <si>
    <t>*7642</t>
  </si>
  <si>
    <t>0522-33-21-87</t>
  </si>
  <si>
    <t>HANDASSA</t>
  </si>
  <si>
    <t>*7194</t>
  </si>
  <si>
    <t>0522-23-82-60</t>
  </si>
  <si>
    <t>HYDROMTIC</t>
  </si>
  <si>
    <t>*7146</t>
  </si>
  <si>
    <t>0522-73-78-37</t>
  </si>
  <si>
    <t>IBERICA</t>
  </si>
  <si>
    <t>*7134</t>
  </si>
  <si>
    <t>0-34944263411</t>
  </si>
  <si>
    <t>IMS France</t>
  </si>
  <si>
    <t>*7055</t>
  </si>
  <si>
    <t>00-33164675011</t>
  </si>
  <si>
    <t>INDO MAROC PHOSPHORE</t>
  </si>
  <si>
    <t>*7481</t>
  </si>
  <si>
    <t>0523-34-53-13</t>
  </si>
  <si>
    <t>INDO MAROC PHOSPHORE2</t>
  </si>
  <si>
    <t>*7520</t>
  </si>
  <si>
    <t>0523-34-51-01</t>
  </si>
  <si>
    <t>INDUSELEC</t>
  </si>
  <si>
    <t>*7382</t>
  </si>
  <si>
    <t>0522-62-85-89</t>
  </si>
  <si>
    <t>INJAD SECOURS</t>
  </si>
  <si>
    <t>0661-55-02-50</t>
  </si>
  <si>
    <t>*7444</t>
  </si>
  <si>
    <t>*7186</t>
  </si>
  <si>
    <t>0522-66-12-12</t>
  </si>
  <si>
    <t>INNOVATIVE TECHNOLOGIE</t>
  </si>
  <si>
    <t>*7698</t>
  </si>
  <si>
    <t>0522-87-36-50</t>
  </si>
  <si>
    <t>INTEC BATI</t>
  </si>
  <si>
    <t>0662-74-46-87</t>
  </si>
  <si>
    <t>*7699</t>
  </si>
  <si>
    <t>INTER TRIDIM</t>
  </si>
  <si>
    <t>*7661</t>
  </si>
  <si>
    <t>0522-33-48-82/052259-01-27</t>
  </si>
  <si>
    <t>INTERFER</t>
  </si>
  <si>
    <t>*7472</t>
  </si>
  <si>
    <t>0522-62-12-36</t>
  </si>
  <si>
    <t>INTEX COMPAGNIE</t>
  </si>
  <si>
    <t>*7494</t>
  </si>
  <si>
    <t>0537-37-83-46</t>
  </si>
  <si>
    <t>INTRAMET</t>
  </si>
  <si>
    <t>*7042</t>
  </si>
  <si>
    <t>00-3242758211</t>
  </si>
  <si>
    <t>KABAFER</t>
  </si>
  <si>
    <t>*7653</t>
  </si>
  <si>
    <t>0522-73-57-67</t>
  </si>
  <si>
    <t>LAFARGE</t>
  </si>
  <si>
    <t xml:space="preserve"> (MUSTAPHA)</t>
  </si>
  <si>
    <t>0662-22-29-66</t>
  </si>
  <si>
    <t>*7311</t>
  </si>
  <si>
    <t>LAFARGE (USINE)</t>
  </si>
  <si>
    <t>0661-29-07-68</t>
  </si>
  <si>
    <t>*7182</t>
  </si>
  <si>
    <t xml:space="preserve">LAFARGE ACHATS </t>
  </si>
  <si>
    <t>*7478</t>
  </si>
  <si>
    <t>0522-91-92-93</t>
  </si>
  <si>
    <t xml:space="preserve">LAFARGE CIMENTS </t>
  </si>
  <si>
    <t>*7246</t>
  </si>
  <si>
    <t>0522-91-92-21</t>
  </si>
  <si>
    <t>*7141</t>
  </si>
  <si>
    <t>0522-91-92-28</t>
  </si>
  <si>
    <t>LAPANDRY</t>
  </si>
  <si>
    <t>*7045</t>
  </si>
  <si>
    <t>0520-13-12-32</t>
  </si>
  <si>
    <t>LAVIN VEXCO</t>
  </si>
  <si>
    <t>*7048</t>
  </si>
  <si>
    <t>00-34605713246</t>
  </si>
  <si>
    <t>LC BUILDING</t>
  </si>
  <si>
    <t>*7117</t>
  </si>
  <si>
    <t>0522-23-25-83</t>
  </si>
  <si>
    <t>LES RENSEIGNEMENTS</t>
  </si>
  <si>
    <t>*7188</t>
  </si>
  <si>
    <t>LONGOFER</t>
  </si>
  <si>
    <t>*7173</t>
  </si>
  <si>
    <t>0522-88-74-00</t>
  </si>
  <si>
    <t>LONGOMETAL</t>
  </si>
  <si>
    <t>*7144</t>
  </si>
  <si>
    <t>0522-40-12-67</t>
  </si>
  <si>
    <t>LPEE</t>
  </si>
  <si>
    <t>*7180</t>
  </si>
  <si>
    <t>0522-48-87-87</t>
  </si>
  <si>
    <t>LT+</t>
  </si>
  <si>
    <t>*7479</t>
  </si>
  <si>
    <t>0522-73-09-85</t>
  </si>
  <si>
    <t>LW STEEL</t>
  </si>
  <si>
    <t>*7528</t>
  </si>
  <si>
    <t>0522-47-33-16</t>
  </si>
  <si>
    <t>LYDEC(N°URGENCE)</t>
  </si>
  <si>
    <t>*7301</t>
  </si>
  <si>
    <t>0522-30-41-17</t>
  </si>
  <si>
    <t>AIR LIQUID</t>
  </si>
  <si>
    <t xml:space="preserve">M EL OUFIR </t>
  </si>
  <si>
    <t>0662-04-57-91</t>
  </si>
  <si>
    <t>*7531</t>
  </si>
  <si>
    <t>M KONTROL</t>
  </si>
  <si>
    <t>*7567</t>
  </si>
  <si>
    <t>0522-86-39-00</t>
  </si>
  <si>
    <t>MAFACO</t>
  </si>
  <si>
    <t>*7475</t>
  </si>
  <si>
    <t>053737-86-61</t>
  </si>
  <si>
    <t xml:space="preserve">MAGHREB OXYGENE </t>
  </si>
  <si>
    <t>*7241</t>
  </si>
  <si>
    <t>0522-35-68-14</t>
  </si>
  <si>
    <t>MAGHREB STEEL</t>
  </si>
  <si>
    <t>*7051</t>
  </si>
  <si>
    <t>0522-76-25-12</t>
  </si>
  <si>
    <t>*7473</t>
  </si>
  <si>
    <t>0522-76-25-10</t>
  </si>
  <si>
    <t>MAITRE BELLAMLIH</t>
  </si>
  <si>
    <t>*7476</t>
  </si>
  <si>
    <t>0522-27-06-55</t>
  </si>
  <si>
    <t>MAITRE CHRAIBI</t>
  </si>
  <si>
    <t>*7011</t>
  </si>
  <si>
    <t>0522-49-12-99</t>
  </si>
  <si>
    <t>MARCONTE</t>
  </si>
  <si>
    <t>*7620</t>
  </si>
  <si>
    <t>0537-74-56-99</t>
  </si>
  <si>
    <t>MARLY STEEL</t>
  </si>
  <si>
    <t>*7424</t>
  </si>
  <si>
    <t>47-33-16/19/46</t>
  </si>
  <si>
    <t>MAROC MONTAGE</t>
  </si>
  <si>
    <t>*7098</t>
  </si>
  <si>
    <t>0522-35-87-92</t>
  </si>
  <si>
    <t>MAROTRANS</t>
  </si>
  <si>
    <t>0663-79-33-43</t>
  </si>
  <si>
    <t>*7254</t>
  </si>
  <si>
    <t>MCGC</t>
  </si>
  <si>
    <t>*7568</t>
  </si>
  <si>
    <t>0522-47-10-06</t>
  </si>
  <si>
    <t>MEGEC</t>
  </si>
  <si>
    <t>*7195</t>
  </si>
  <si>
    <t>0522-82-60-04</t>
  </si>
  <si>
    <t>*7269</t>
  </si>
  <si>
    <t>0522-82-60-06</t>
  </si>
  <si>
    <t>MORY</t>
  </si>
  <si>
    <t>*7063</t>
  </si>
  <si>
    <t>0522-22-41-31</t>
  </si>
  <si>
    <t>0661-22-94-53</t>
  </si>
  <si>
    <t>*7719</t>
  </si>
  <si>
    <t>MOUSSADAK</t>
  </si>
  <si>
    <t>*7209</t>
  </si>
  <si>
    <t>0537-71-67-58</t>
  </si>
  <si>
    <t>NEFAM</t>
  </si>
  <si>
    <t>*7133</t>
  </si>
  <si>
    <t>0528-28-11-90</t>
  </si>
  <si>
    <t>NORD USINAGE</t>
  </si>
  <si>
    <t>*7389</t>
  </si>
  <si>
    <t>0522-66-25-36</t>
  </si>
  <si>
    <t>NOBLE SHIPING</t>
  </si>
  <si>
    <t>61-45-67-48</t>
  </si>
  <si>
    <t>*7673</t>
  </si>
  <si>
    <t>NOVOMET</t>
  </si>
  <si>
    <t>*7384</t>
  </si>
  <si>
    <t>0522-60-05-46</t>
  </si>
  <si>
    <t>NTN SNR</t>
  </si>
  <si>
    <t>*7514</t>
  </si>
  <si>
    <t>OCBM</t>
  </si>
  <si>
    <t>*7120</t>
  </si>
  <si>
    <t>0522-67-42-40</t>
  </si>
  <si>
    <t>OCP</t>
  </si>
  <si>
    <t>*7395</t>
  </si>
  <si>
    <t>0524-46-30-10</t>
  </si>
  <si>
    <t>*7398</t>
  </si>
  <si>
    <t>0524-46-30-89</t>
  </si>
  <si>
    <t>OFPPT</t>
  </si>
  <si>
    <t>*7657</t>
  </si>
  <si>
    <t>0522-60-07-46</t>
  </si>
  <si>
    <t>OMS Italie</t>
  </si>
  <si>
    <t>*7633</t>
  </si>
  <si>
    <t>0039-03-22-54-14-66</t>
  </si>
  <si>
    <t>ONT</t>
  </si>
  <si>
    <t>*7056</t>
  </si>
  <si>
    <t>0536-60-72-20</t>
  </si>
  <si>
    <t>OSCAM</t>
  </si>
  <si>
    <t>*7124</t>
  </si>
  <si>
    <t>00-390116635656</t>
  </si>
  <si>
    <t>OUHOUD METAL</t>
  </si>
  <si>
    <t>*7027</t>
  </si>
  <si>
    <t>70-89-21</t>
  </si>
  <si>
    <t>OUSSAMA PROTECTION</t>
  </si>
  <si>
    <t>*7596</t>
  </si>
  <si>
    <t>44-59-59</t>
  </si>
  <si>
    <t>0661-75-62-99</t>
  </si>
  <si>
    <t>*7646</t>
  </si>
  <si>
    <t>OUTINESS</t>
  </si>
  <si>
    <t>*7593</t>
  </si>
  <si>
    <t>0522-54-21-57</t>
  </si>
  <si>
    <t>PERFORMANCE AUTO</t>
  </si>
  <si>
    <t>*7628</t>
  </si>
  <si>
    <t>05-22-66-32-26</t>
  </si>
  <si>
    <t>PETROTANK</t>
  </si>
  <si>
    <t>*7635</t>
  </si>
  <si>
    <t>0522-32-63-06</t>
  </si>
  <si>
    <t>POLICE</t>
  </si>
  <si>
    <t>*7031</t>
  </si>
  <si>
    <t>RADIOLOGIE ADDOHA</t>
  </si>
  <si>
    <t>*7521</t>
  </si>
  <si>
    <t>0522-66-43-92</t>
  </si>
  <si>
    <t>RMA WATANYA</t>
  </si>
  <si>
    <t>*7137</t>
  </si>
  <si>
    <t>0522-31-01-69</t>
  </si>
  <si>
    <t>QUACOT</t>
  </si>
  <si>
    <t>*7573</t>
  </si>
  <si>
    <t>0522-25-40-79</t>
  </si>
  <si>
    <t>REMORQUE EQUIPEMENT</t>
  </si>
  <si>
    <t>*7659</t>
  </si>
  <si>
    <t>0522-33-18-28/15</t>
  </si>
  <si>
    <t>ROCAMORA</t>
  </si>
  <si>
    <t>0675-35-07-48</t>
  </si>
  <si>
    <t>*7792</t>
  </si>
  <si>
    <t>SAFA MAROC</t>
  </si>
  <si>
    <t>*7789</t>
  </si>
  <si>
    <t>0522-44-23-00</t>
  </si>
  <si>
    <t>SAFOP</t>
  </si>
  <si>
    <t>*7445</t>
  </si>
  <si>
    <t>0537-37-90-20</t>
  </si>
  <si>
    <t>SAISS GRILLAGE</t>
  </si>
  <si>
    <t>*7649</t>
  </si>
  <si>
    <t>34-37-38</t>
  </si>
  <si>
    <t>SALIMA ESPACE</t>
  </si>
  <si>
    <t>*7496</t>
  </si>
  <si>
    <t>522-66-15-12</t>
  </si>
  <si>
    <t>SAMEA METAL FER</t>
  </si>
  <si>
    <t>*7658</t>
  </si>
  <si>
    <t>0539-39-44-44</t>
  </si>
  <si>
    <t>SAMIA METAL FER</t>
  </si>
  <si>
    <t>*7636</t>
  </si>
  <si>
    <t>SAVE CONTROL</t>
  </si>
  <si>
    <t>*7571</t>
  </si>
  <si>
    <t>0522-36-89-52</t>
  </si>
  <si>
    <t>SAVICOM</t>
  </si>
  <si>
    <t>*7668</t>
  </si>
  <si>
    <t>66-37-03</t>
  </si>
  <si>
    <t>SBBM</t>
  </si>
  <si>
    <t>*7132</t>
  </si>
  <si>
    <t>0524-34-01-29</t>
  </si>
  <si>
    <t>SCAN TECH</t>
  </si>
  <si>
    <t>0661-40-20-83</t>
  </si>
  <si>
    <t>*7530</t>
  </si>
  <si>
    <t>SCHIELE MAROC</t>
  </si>
  <si>
    <t>*7028</t>
  </si>
  <si>
    <t>0522-66-01-51</t>
  </si>
  <si>
    <t>SCIM CHIMIE</t>
  </si>
  <si>
    <t>0522-61-82-03</t>
  </si>
  <si>
    <t>SCHNELL</t>
  </si>
  <si>
    <t>*7170</t>
  </si>
  <si>
    <t>00-390721878711</t>
  </si>
  <si>
    <t>SEHI</t>
  </si>
  <si>
    <t>*7644</t>
  </si>
  <si>
    <t>34-49-79</t>
  </si>
  <si>
    <t>SEMAMETAL</t>
  </si>
  <si>
    <t>*7070</t>
  </si>
  <si>
    <t>00-3243712959</t>
  </si>
  <si>
    <t>SEPROB</t>
  </si>
  <si>
    <t>*7083</t>
  </si>
  <si>
    <t>0522-88-51-78</t>
  </si>
  <si>
    <t>SERIMA</t>
  </si>
  <si>
    <t>*7073</t>
  </si>
  <si>
    <t>0522-40-90-69</t>
  </si>
  <si>
    <t>SGMB</t>
  </si>
  <si>
    <t>*7077</t>
  </si>
  <si>
    <t>SGTM</t>
  </si>
  <si>
    <t>0661-25-84-54</t>
  </si>
  <si>
    <t>*7250</t>
  </si>
  <si>
    <t>0666-96-85-00</t>
  </si>
  <si>
    <t>*7251</t>
  </si>
  <si>
    <t>SICMACO</t>
  </si>
  <si>
    <t>0663-76-85-21</t>
  </si>
  <si>
    <t>*7419</t>
  </si>
  <si>
    <t>0663-63-48-20</t>
  </si>
  <si>
    <t>*7260</t>
  </si>
  <si>
    <t>SICOFAM</t>
  </si>
  <si>
    <t>*7126</t>
  </si>
  <si>
    <t>0524-34-61-21</t>
  </si>
  <si>
    <t>SIGMA CONSTRUCTION</t>
  </si>
  <si>
    <t>*7410</t>
  </si>
  <si>
    <t>0522-74-49-15</t>
  </si>
  <si>
    <t>SINTRAM</t>
  </si>
  <si>
    <t>*7510</t>
  </si>
  <si>
    <t>522-33-43-55</t>
  </si>
  <si>
    <t>*7317</t>
  </si>
  <si>
    <t>0522-97-53-89</t>
  </si>
  <si>
    <t>SITAMAR</t>
  </si>
  <si>
    <t>*7536</t>
  </si>
  <si>
    <t>0528-83-30-56</t>
  </si>
  <si>
    <t>SMEA BATIMENT</t>
  </si>
  <si>
    <t>0661-35-71-26</t>
  </si>
  <si>
    <t>*7487</t>
  </si>
  <si>
    <t>SMEA BATIMENT SIEGE</t>
  </si>
  <si>
    <t>*7504</t>
  </si>
  <si>
    <t>0523-72-17-34</t>
  </si>
  <si>
    <t>SMCV</t>
  </si>
  <si>
    <t>0523-310-684</t>
  </si>
  <si>
    <t>SMEIA</t>
  </si>
  <si>
    <t>*7114</t>
  </si>
  <si>
    <t>0522-40-07-00</t>
  </si>
  <si>
    <t>SMEM</t>
  </si>
  <si>
    <t>*7469</t>
  </si>
  <si>
    <t>0522-60-10-20</t>
  </si>
  <si>
    <t xml:space="preserve">SMM SOCODAM DAVUM JORF </t>
  </si>
  <si>
    <t>SMM SOCODAM DAVUM KENITRA</t>
  </si>
  <si>
    <t>*7337</t>
  </si>
  <si>
    <t>0537-36-97-60</t>
  </si>
  <si>
    <t>SMIHI TRANS</t>
  </si>
  <si>
    <t>*7681</t>
  </si>
  <si>
    <t>0622-29-78-03</t>
  </si>
  <si>
    <t>SMR</t>
  </si>
  <si>
    <t>*7079</t>
  </si>
  <si>
    <t>00-3329797997</t>
  </si>
  <si>
    <t>SNCH</t>
  </si>
  <si>
    <t>*7515</t>
  </si>
  <si>
    <t>0537-61-32-18</t>
  </si>
  <si>
    <t>SNETH</t>
  </si>
  <si>
    <t>*7533</t>
  </si>
  <si>
    <t>0522-40-00-70</t>
  </si>
  <si>
    <t>SOCOTEC</t>
  </si>
  <si>
    <t>*7086</t>
  </si>
  <si>
    <t>0522-40-13-61</t>
  </si>
  <si>
    <t>SOCOTEC CASA</t>
  </si>
  <si>
    <t>*7576</t>
  </si>
  <si>
    <t>0522-40-44-17</t>
  </si>
  <si>
    <t>SOCOTEC RABAT</t>
  </si>
  <si>
    <t>*7577</t>
  </si>
  <si>
    <t>0537-72-56-54</t>
  </si>
  <si>
    <t>SODEPRIM</t>
  </si>
  <si>
    <t>*7757</t>
  </si>
  <si>
    <t>0522-66-03-66</t>
  </si>
  <si>
    <t>SOGEA</t>
  </si>
  <si>
    <t>*7319</t>
  </si>
  <si>
    <t>0537-27-86-00</t>
  </si>
  <si>
    <t>SOMACEP</t>
  </si>
  <si>
    <t>*7570</t>
  </si>
  <si>
    <t>0522-40-71-77</t>
  </si>
  <si>
    <t>SOMACHAME</t>
  </si>
  <si>
    <t>*7482</t>
  </si>
  <si>
    <t>67-20-08</t>
  </si>
  <si>
    <t>SOMADIR</t>
  </si>
  <si>
    <t>*7115</t>
  </si>
  <si>
    <t>0522-40-13-57</t>
  </si>
  <si>
    <t>SOMAGEC</t>
  </si>
  <si>
    <t>*7166</t>
  </si>
  <si>
    <t>0522-35-49-45</t>
  </si>
  <si>
    <t>SOMATREF</t>
  </si>
  <si>
    <t>*7168</t>
  </si>
  <si>
    <t>0522-35-92-88</t>
  </si>
  <si>
    <t>SOMELEC</t>
  </si>
  <si>
    <t>*7164</t>
  </si>
  <si>
    <t>0522-75-66-34</t>
  </si>
  <si>
    <t>SONASID</t>
  </si>
  <si>
    <t>*7118</t>
  </si>
  <si>
    <t>0522-39-79-85</t>
  </si>
  <si>
    <t>SONASID CASA</t>
  </si>
  <si>
    <t>*7032</t>
  </si>
  <si>
    <t>0529-06-03-00</t>
  </si>
  <si>
    <t>SONASID JORF</t>
  </si>
  <si>
    <t>*7075</t>
  </si>
  <si>
    <t>0523-38-94-19</t>
  </si>
  <si>
    <t>SONASID NADOR</t>
  </si>
  <si>
    <t>*7093</t>
  </si>
  <si>
    <t>05-36-60-94-41</t>
  </si>
  <si>
    <t>SONASID PLATE FORME</t>
  </si>
  <si>
    <t>0661-15-08-81</t>
  </si>
  <si>
    <t>*7189</t>
  </si>
  <si>
    <t>SORIMAC</t>
  </si>
  <si>
    <t>*7178</t>
  </si>
  <si>
    <t>0522-29-90-92</t>
  </si>
  <si>
    <t>SOTRAVO</t>
  </si>
  <si>
    <t>TATIMAR</t>
  </si>
  <si>
    <t>*7242</t>
  </si>
  <si>
    <t>0522-44-39-13</t>
  </si>
  <si>
    <t>TECHNIC ACIERS</t>
  </si>
  <si>
    <t>*7468</t>
  </si>
  <si>
    <t>0522-35-28-68</t>
  </si>
  <si>
    <t>TECNITAS</t>
  </si>
  <si>
    <t>*7572</t>
  </si>
  <si>
    <t>0522-27-78-38</t>
  </si>
  <si>
    <t>TECTRA</t>
  </si>
  <si>
    <t>*7446</t>
  </si>
  <si>
    <t>0522-99-38-44</t>
  </si>
  <si>
    <t>TEURIMA</t>
  </si>
  <si>
    <t>*7171</t>
  </si>
  <si>
    <t>00-34943341919</t>
  </si>
  <si>
    <t>dahbi seimens</t>
  </si>
  <si>
    <t>661-97-84-79</t>
  </si>
  <si>
    <t>AGIRH</t>
  </si>
  <si>
    <t>SIPE</t>
  </si>
  <si>
    <t>El hassany Mourad</t>
  </si>
  <si>
    <t>0661-41-02-17</t>
  </si>
  <si>
    <t>0666-37-49-82</t>
  </si>
  <si>
    <t>0650-09-44-69</t>
  </si>
  <si>
    <t xml:space="preserve">0666-36-42-91 </t>
  </si>
  <si>
    <t>0661-52-15-42</t>
  </si>
  <si>
    <t>Hablou Riham</t>
  </si>
  <si>
    <t>Mahraoui Meryem</t>
  </si>
  <si>
    <t>rhablou@ssd.ma</t>
  </si>
  <si>
    <t>Hasam Kenza</t>
  </si>
  <si>
    <t>khasam@ssd.ma</t>
  </si>
  <si>
    <t>*7464</t>
  </si>
  <si>
    <t>Oubella Hassane</t>
  </si>
  <si>
    <t>coursier</t>
  </si>
  <si>
    <t>*7102</t>
  </si>
  <si>
    <t>Said Bahhar / Khalid abdou (code:119)</t>
  </si>
  <si>
    <t>Amina Azlag / Azzedine Ennassiri (code:117)</t>
  </si>
  <si>
    <t>Hicham Boutkayout / Ahmed Aghlan (code:184)</t>
  </si>
  <si>
    <t>Abdelghani Rguid / Abderrahim Chouqairi (code:185)</t>
  </si>
  <si>
    <t>JIBARI</t>
  </si>
  <si>
    <t>Essahal El Mahdi</t>
  </si>
  <si>
    <t>BARI SLIMANE</t>
  </si>
  <si>
    <t>imad faiz</t>
  </si>
  <si>
    <t>naji youssef dosi</t>
  </si>
  <si>
    <t>Aimane Mandaouch</t>
  </si>
  <si>
    <t>AGOURAM</t>
  </si>
  <si>
    <t>ADV</t>
  </si>
  <si>
    <t>meryam alioali</t>
  </si>
  <si>
    <t>adv</t>
  </si>
  <si>
    <t>majda kraifa</t>
  </si>
  <si>
    <t>AMINE MOURTAJI</t>
  </si>
  <si>
    <t>ASSISSOU</t>
  </si>
  <si>
    <t>FAICAL LAKHDAR</t>
  </si>
  <si>
    <t>Y DIRCHAOUI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</si>
</sst>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&quot;€&quot;\ * #,##0.00_-;\-&quot;€&quot;\ * #,##0.00_-;_-&quot;€&quot;\ * &quot;-&quot;??_-;_-@_-"/>
  </numFmts>
  <fonts count="3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2"/>
      <name val="Arial"/>
      <family val="2"/>
    </font>
    <font>
      <b/>
      <sz val="12"/>
      <color indexed="9"/>
      <name val="Times New Roman"/>
      <family val="1"/>
    </font>
    <font>
      <b/>
      <sz val="12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i/>
      <sz val="10"/>
      <color indexed="62"/>
      <name val="Bell MT"/>
      <family val="1"/>
    </font>
    <font>
      <sz val="10"/>
      <color indexed="9"/>
      <name val="Arial"/>
      <family val="2"/>
    </font>
    <font>
      <sz val="10"/>
      <color indexed="8"/>
      <name val="Calibri"/>
      <family val="2"/>
    </font>
    <font>
      <sz val="14"/>
      <name val="Calibri"/>
      <family val="2"/>
    </font>
    <font>
      <b/>
      <sz val="12"/>
      <name val="Times New Roman"/>
      <family val="1"/>
    </font>
    <font>
      <b/>
      <sz val="10"/>
      <color indexed="6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mbria"/>
      <family val="1"/>
    </font>
    <font>
      <sz val="8"/>
      <color theme="1"/>
      <name val="Cambria"/>
      <family val="1"/>
      <scheme val="major"/>
    </font>
    <font>
      <sz val="10"/>
      <color theme="1"/>
      <name val="Arial"/>
      <family val="2"/>
    </font>
    <font>
      <u/>
      <sz val="10"/>
      <color indexed="12"/>
      <name val="Arial"/>
      <family val="2"/>
    </font>
    <font>
      <u/>
      <sz val="10"/>
      <color indexed="12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19B96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43"/>
      </left>
      <right/>
      <top/>
      <bottom style="thin">
        <color indexed="43"/>
      </bottom>
      <diagonal/>
    </border>
    <border>
      <left style="thin">
        <color indexed="43"/>
      </left>
      <right style="thin">
        <color indexed="43"/>
      </right>
      <top/>
      <bottom style="thin">
        <color indexed="43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ck">
        <color indexed="43"/>
      </bottom>
      <diagonal/>
    </border>
    <border>
      <left style="thin">
        <color indexed="43"/>
      </left>
      <right style="thin">
        <color indexed="43"/>
      </right>
      <top style="medium">
        <color indexed="64"/>
      </top>
      <bottom style="thin">
        <color indexed="43"/>
      </bottom>
      <diagonal/>
    </border>
    <border>
      <left style="medium">
        <color indexed="64"/>
      </left>
      <right style="thin">
        <color indexed="43"/>
      </right>
      <top/>
      <bottom style="thin">
        <color indexed="43"/>
      </bottom>
      <diagonal/>
    </border>
    <border>
      <left style="thin">
        <color indexed="43"/>
      </left>
      <right style="medium">
        <color indexed="64"/>
      </right>
      <top/>
      <bottom style="thin">
        <color indexed="43"/>
      </bottom>
      <diagonal/>
    </border>
    <border>
      <left style="medium">
        <color indexed="64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medium">
        <color indexed="64"/>
      </left>
      <right style="thin">
        <color indexed="43"/>
      </right>
      <top style="thin">
        <color indexed="43"/>
      </top>
      <bottom style="medium">
        <color indexed="64"/>
      </bottom>
      <diagonal/>
    </border>
    <border>
      <left style="thin">
        <color indexed="43"/>
      </left>
      <right/>
      <top/>
      <bottom style="medium">
        <color indexed="64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medium">
        <color indexed="64"/>
      </bottom>
      <diagonal/>
    </border>
    <border>
      <left style="thin">
        <color indexed="43"/>
      </left>
      <right style="thin">
        <color indexed="43"/>
      </right>
      <top/>
      <bottom style="medium">
        <color indexed="64"/>
      </bottom>
      <diagonal/>
    </border>
    <border>
      <left style="thin">
        <color indexed="43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3"/>
      </left>
      <right style="medium">
        <color indexed="64"/>
      </right>
      <top style="medium">
        <color indexed="64"/>
      </top>
      <bottom style="thin">
        <color indexed="43"/>
      </bottom>
      <diagonal/>
    </border>
    <border>
      <left style="thin">
        <color indexed="43"/>
      </left>
      <right style="medium">
        <color indexed="64"/>
      </right>
      <top style="thin">
        <color indexed="43"/>
      </top>
      <bottom style="thick">
        <color indexed="4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43"/>
      </right>
      <top style="medium">
        <color indexed="64"/>
      </top>
      <bottom style="thin">
        <color indexed="43"/>
      </bottom>
      <diagonal/>
    </border>
    <border>
      <left style="medium">
        <color indexed="64"/>
      </left>
      <right style="thin">
        <color indexed="43"/>
      </right>
      <top style="thin">
        <color indexed="43"/>
      </top>
      <bottom style="thick">
        <color indexed="43"/>
      </bottom>
      <diagonal/>
    </border>
    <border>
      <left/>
      <right/>
      <top style="double">
        <color theme="0"/>
      </top>
      <bottom/>
      <diagonal/>
    </border>
    <border>
      <left/>
      <right style="medium">
        <color indexed="64"/>
      </right>
      <top style="double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medium">
        <color indexed="64"/>
      </right>
      <top style="double">
        <color theme="0"/>
      </top>
      <bottom style="double">
        <color theme="0"/>
      </bottom>
      <diagonal/>
    </border>
    <border>
      <left/>
      <right/>
      <top style="medium">
        <color indexed="64"/>
      </top>
      <bottom style="double">
        <color theme="0"/>
      </bottom>
      <diagonal/>
    </border>
    <border>
      <left/>
      <right style="medium">
        <color indexed="64"/>
      </right>
      <top style="medium">
        <color indexed="64"/>
      </top>
      <bottom style="double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4" tint="-0.499984740745262"/>
      </top>
      <bottom style="thin">
        <color theme="4" tint="-0.499984740745262"/>
      </bottom>
      <diagonal/>
    </border>
  </borders>
  <cellStyleXfs count="5">
    <xf numFmtId="0" fontId="0" fillId="0" borderId="0"/>
    <xf numFmtId="0" fontId="3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165" fontId="22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 applyProtection="1">
      <alignment horizontal="center" vertical="top" wrapText="1"/>
      <protection locked="0"/>
    </xf>
    <xf numFmtId="164" fontId="0" fillId="0" borderId="1" xfId="0" applyNumberFormat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4" fontId="0" fillId="0" borderId="2" xfId="0" applyNumberFormat="1" applyBorder="1" applyAlignment="1" applyProtection="1">
      <alignment horizontal="center" vertical="top"/>
    </xf>
    <xf numFmtId="3" fontId="0" fillId="0" borderId="3" xfId="0" applyNumberFormat="1" applyBorder="1" applyAlignment="1" applyProtection="1">
      <alignment horizontal="center" vertical="top"/>
      <protection locked="0"/>
    </xf>
    <xf numFmtId="4" fontId="0" fillId="0" borderId="3" xfId="0" applyNumberFormat="1" applyBorder="1" applyAlignment="1" applyProtection="1">
      <alignment horizontal="center" vertical="top"/>
    </xf>
    <xf numFmtId="10" fontId="2" fillId="0" borderId="3" xfId="0" applyNumberFormat="1" applyFont="1" applyBorder="1" applyAlignment="1" applyProtection="1">
      <alignment horizontal="center" vertical="top"/>
    </xf>
    <xf numFmtId="2" fontId="2" fillId="0" borderId="3" xfId="0" applyNumberFormat="1" applyFont="1" applyBorder="1" applyAlignment="1" applyProtection="1">
      <alignment horizontal="center" vertical="top"/>
    </xf>
    <xf numFmtId="3" fontId="0" fillId="0" borderId="4" xfId="0" applyNumberFormat="1" applyBorder="1" applyAlignment="1" applyProtection="1">
      <alignment horizontal="center" vertical="top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 applyProtection="1">
      <alignment horizontal="center" vertical="center"/>
      <protection locked="0"/>
    </xf>
    <xf numFmtId="49" fontId="0" fillId="0" borderId="7" xfId="0" applyNumberFormat="1" applyBorder="1" applyAlignment="1" applyProtection="1">
      <alignment horizontal="center" vertical="top"/>
      <protection locked="0"/>
    </xf>
    <xf numFmtId="2" fontId="2" fillId="0" borderId="8" xfId="0" applyNumberFormat="1" applyFont="1" applyBorder="1" applyAlignment="1" applyProtection="1">
      <alignment horizontal="center" vertical="top"/>
    </xf>
    <xf numFmtId="49" fontId="0" fillId="0" borderId="9" xfId="0" applyNumberFormat="1" applyBorder="1" applyAlignment="1" applyProtection="1">
      <alignment horizontal="center" vertical="top"/>
      <protection locked="0"/>
    </xf>
    <xf numFmtId="49" fontId="0" fillId="0" borderId="10" xfId="0" applyNumberFormat="1" applyBorder="1" applyAlignment="1" applyProtection="1">
      <alignment horizontal="center" vertical="top"/>
      <protection locked="0"/>
    </xf>
    <xf numFmtId="4" fontId="0" fillId="0" borderId="11" xfId="0" applyNumberFormat="1" applyBorder="1" applyAlignment="1" applyProtection="1">
      <alignment horizontal="center" vertical="top"/>
    </xf>
    <xf numFmtId="3" fontId="0" fillId="0" borderId="12" xfId="0" applyNumberFormat="1" applyBorder="1" applyAlignment="1" applyProtection="1">
      <alignment horizontal="center" vertical="top"/>
      <protection locked="0"/>
    </xf>
    <xf numFmtId="4" fontId="0" fillId="0" borderId="13" xfId="0" applyNumberFormat="1" applyBorder="1" applyAlignment="1" applyProtection="1">
      <alignment horizontal="center" vertical="top"/>
    </xf>
    <xf numFmtId="10" fontId="2" fillId="0" borderId="13" xfId="0" applyNumberFormat="1" applyFont="1" applyBorder="1" applyAlignment="1" applyProtection="1">
      <alignment horizontal="center" vertical="top"/>
    </xf>
    <xf numFmtId="2" fontId="2" fillId="0" borderId="13" xfId="0" applyNumberFormat="1" applyFont="1" applyBorder="1" applyAlignment="1" applyProtection="1">
      <alignment horizontal="center" vertical="top"/>
    </xf>
    <xf numFmtId="2" fontId="2" fillId="0" borderId="14" xfId="0" applyNumberFormat="1" applyFont="1" applyBorder="1" applyAlignment="1" applyProtection="1">
      <alignment horizontal="center" vertical="top"/>
    </xf>
    <xf numFmtId="1" fontId="1" fillId="3" borderId="15" xfId="0" applyNumberFormat="1" applyFont="1" applyFill="1" applyBorder="1" applyAlignment="1" applyProtection="1">
      <alignment horizontal="center" vertical="center"/>
    </xf>
    <xf numFmtId="1" fontId="1" fillId="3" borderId="16" xfId="0" applyNumberFormat="1" applyFont="1" applyFill="1" applyBorder="1" applyAlignment="1" applyProtection="1">
      <alignment horizontal="center" vertical="center"/>
    </xf>
    <xf numFmtId="0" fontId="1" fillId="3" borderId="16" xfId="0" applyFont="1" applyFill="1" applyBorder="1" applyAlignment="1" applyProtection="1">
      <alignment horizontal="center" vertical="center" wrapText="1"/>
    </xf>
    <xf numFmtId="49" fontId="1" fillId="3" borderId="16" xfId="0" applyNumberFormat="1" applyFont="1" applyFill="1" applyBorder="1" applyAlignment="1" applyProtection="1">
      <alignment horizontal="center" vertical="center"/>
    </xf>
    <xf numFmtId="10" fontId="1" fillId="3" borderId="17" xfId="0" applyNumberFormat="1" applyFont="1" applyFill="1" applyBorder="1" applyAlignment="1" applyProtection="1">
      <alignment horizontal="center" vertical="center"/>
    </xf>
    <xf numFmtId="1" fontId="0" fillId="0" borderId="18" xfId="0" applyNumberFormat="1" applyBorder="1" applyAlignment="1" applyProtection="1">
      <alignment horizontal="center" vertical="top"/>
      <protection locked="0"/>
    </xf>
    <xf numFmtId="1" fontId="0" fillId="0" borderId="19" xfId="0" applyNumberFormat="1" applyBorder="1" applyAlignment="1" applyProtection="1">
      <alignment horizontal="center" vertical="top"/>
      <protection locked="0"/>
    </xf>
    <xf numFmtId="0" fontId="2" fillId="0" borderId="19" xfId="0" applyFont="1" applyBorder="1" applyAlignment="1" applyProtection="1">
      <alignment horizontal="center" vertical="top" wrapText="1"/>
      <protection locked="0"/>
    </xf>
    <xf numFmtId="49" fontId="0" fillId="0" borderId="19" xfId="0" applyNumberFormat="1" applyBorder="1" applyAlignment="1" applyProtection="1">
      <alignment horizontal="center" vertical="top"/>
      <protection locked="0"/>
    </xf>
    <xf numFmtId="0" fontId="0" fillId="0" borderId="20" xfId="0" applyBorder="1"/>
    <xf numFmtId="1" fontId="9" fillId="2" borderId="21" xfId="0" applyNumberFormat="1" applyFont="1" applyFill="1" applyBorder="1" applyAlignment="1" applyProtection="1">
      <alignment horizontal="center" vertical="top"/>
      <protection locked="0"/>
    </xf>
    <xf numFmtId="0" fontId="9" fillId="2" borderId="21" xfId="0" applyFont="1" applyFill="1" applyBorder="1" applyAlignment="1" applyProtection="1">
      <alignment vertical="top" wrapText="1"/>
      <protection locked="0"/>
    </xf>
    <xf numFmtId="0" fontId="12" fillId="2" borderId="21" xfId="0" applyFont="1" applyFill="1" applyBorder="1" applyAlignment="1" applyProtection="1">
      <alignment horizontal="center" vertical="top" wrapText="1"/>
      <protection locked="0"/>
    </xf>
    <xf numFmtId="49" fontId="9" fillId="2" borderId="21" xfId="0" applyNumberFormat="1" applyFont="1" applyFill="1" applyBorder="1" applyAlignment="1" applyProtection="1">
      <alignment horizontal="center" vertical="top"/>
      <protection locked="0"/>
    </xf>
    <xf numFmtId="0" fontId="9" fillId="2" borderId="21" xfId="0" applyFont="1" applyFill="1" applyBorder="1"/>
    <xf numFmtId="0" fontId="9" fillId="4" borderId="22" xfId="0" applyFont="1" applyFill="1" applyBorder="1" applyAlignment="1"/>
    <xf numFmtId="0" fontId="9" fillId="2" borderId="22" xfId="0" applyFont="1" applyFill="1" applyBorder="1" applyAlignment="1"/>
    <xf numFmtId="0" fontId="0" fillId="2" borderId="0" xfId="0" applyFill="1"/>
    <xf numFmtId="0" fontId="9" fillId="2" borderId="0" xfId="0" applyFont="1" applyFill="1"/>
    <xf numFmtId="0" fontId="10" fillId="4" borderId="22" xfId="0" applyFont="1" applyFill="1" applyBorder="1" applyAlignment="1"/>
    <xf numFmtId="0" fontId="9" fillId="2" borderId="0" xfId="0" applyFont="1" applyFill="1" applyAlignment="1">
      <alignment horizontal="center" vertical="top"/>
    </xf>
    <xf numFmtId="0" fontId="9" fillId="2" borderId="0" xfId="0" applyFont="1" applyFill="1" applyBorder="1" applyAlignment="1">
      <alignment horizontal="center" vertical="top"/>
    </xf>
    <xf numFmtId="0" fontId="9" fillId="2" borderId="0" xfId="0" applyFont="1" applyFill="1" applyBorder="1"/>
    <xf numFmtId="1" fontId="1" fillId="3" borderId="15" xfId="0" applyNumberFormat="1" applyFont="1" applyFill="1" applyBorder="1" applyAlignment="1" applyProtection="1">
      <alignment horizontal="center" vertical="top"/>
    </xf>
    <xf numFmtId="0" fontId="1" fillId="3" borderId="16" xfId="0" applyFont="1" applyFill="1" applyBorder="1" applyAlignment="1" applyProtection="1">
      <alignment vertical="top" wrapText="1"/>
    </xf>
    <xf numFmtId="166" fontId="1" fillId="3" borderId="16" xfId="0" applyNumberFormat="1" applyFont="1" applyFill="1" applyBorder="1" applyAlignment="1" applyProtection="1">
      <alignment horizontal="center" vertical="top"/>
    </xf>
    <xf numFmtId="10" fontId="1" fillId="3" borderId="17" xfId="0" applyNumberFormat="1" applyFont="1" applyFill="1" applyBorder="1" applyAlignment="1" applyProtection="1">
      <alignment horizontal="center" vertical="top"/>
    </xf>
    <xf numFmtId="49" fontId="0" fillId="0" borderId="23" xfId="0" applyNumberFormat="1" applyBorder="1" applyAlignment="1" applyProtection="1">
      <alignment horizontal="center" vertical="top"/>
      <protection locked="0"/>
    </xf>
    <xf numFmtId="10" fontId="2" fillId="0" borderId="24" xfId="3" applyNumberFormat="1" applyFont="1" applyBorder="1" applyAlignment="1" applyProtection="1">
      <alignment horizontal="center" vertical="top"/>
    </xf>
    <xf numFmtId="10" fontId="0" fillId="0" borderId="25" xfId="0" applyNumberFormat="1" applyBorder="1" applyAlignment="1" applyProtection="1">
      <alignment horizontal="center" vertical="top"/>
      <protection locked="0"/>
    </xf>
    <xf numFmtId="49" fontId="0" fillId="0" borderId="18" xfId="0" applyNumberFormat="1" applyBorder="1" applyAlignment="1" applyProtection="1">
      <alignment horizontal="center" vertical="top"/>
      <protection locked="0"/>
    </xf>
    <xf numFmtId="0" fontId="0" fillId="0" borderId="19" xfId="0" applyBorder="1" applyAlignment="1" applyProtection="1">
      <alignment horizontal="center" vertical="top" wrapText="1"/>
      <protection locked="0"/>
    </xf>
    <xf numFmtId="164" fontId="0" fillId="0" borderId="19" xfId="0" applyNumberFormat="1" applyBorder="1" applyAlignment="1" applyProtection="1">
      <alignment horizontal="center" vertical="top"/>
      <protection locked="0"/>
    </xf>
    <xf numFmtId="10" fontId="0" fillId="0" borderId="26" xfId="0" applyNumberFormat="1" applyBorder="1" applyAlignment="1" applyProtection="1">
      <alignment horizontal="center" vertical="top"/>
      <protection locked="0"/>
    </xf>
    <xf numFmtId="0" fontId="9" fillId="2" borderId="0" xfId="0" applyFont="1" applyFill="1" applyBorder="1" applyAlignment="1"/>
    <xf numFmtId="1" fontId="9" fillId="2" borderId="0" xfId="0" applyNumberFormat="1" applyFont="1" applyFill="1" applyBorder="1" applyAlignment="1" applyProtection="1">
      <alignment horizontal="center" vertical="top"/>
      <protection locked="0"/>
    </xf>
    <xf numFmtId="0" fontId="9" fillId="2" borderId="0" xfId="0" applyFont="1" applyFill="1" applyBorder="1" applyAlignment="1" applyProtection="1">
      <alignment vertical="top" wrapText="1"/>
      <protection locked="0"/>
    </xf>
    <xf numFmtId="0" fontId="12" fillId="2" borderId="0" xfId="0" applyFont="1" applyFill="1" applyBorder="1" applyAlignment="1" applyProtection="1">
      <alignment horizontal="center" vertical="top" wrapText="1"/>
      <protection locked="0"/>
    </xf>
    <xf numFmtId="49" fontId="9" fillId="2" borderId="0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/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Protection="1">
      <protection locked="0"/>
    </xf>
    <xf numFmtId="1" fontId="0" fillId="0" borderId="27" xfId="0" applyNumberForma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 vertical="center"/>
      <protection locked="0"/>
    </xf>
    <xf numFmtId="0" fontId="18" fillId="6" borderId="29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protection locked="0"/>
    </xf>
    <xf numFmtId="0" fontId="0" fillId="6" borderId="40" xfId="0" applyFill="1" applyBorder="1" applyAlignment="1" applyProtection="1">
      <protection locked="0"/>
    </xf>
    <xf numFmtId="0" fontId="18" fillId="6" borderId="30" xfId="0" applyFont="1" applyFill="1" applyBorder="1" applyAlignment="1" applyProtection="1">
      <protection locked="0"/>
    </xf>
    <xf numFmtId="0" fontId="0" fillId="6" borderId="30" xfId="0" applyFill="1" applyBorder="1" applyAlignment="1" applyProtection="1">
      <alignment horizontal="left"/>
      <protection locked="0"/>
    </xf>
    <xf numFmtId="0" fontId="7" fillId="6" borderId="30" xfId="0" applyFont="1" applyFill="1" applyBorder="1" applyAlignment="1" applyProtection="1">
      <alignment horizontal="left"/>
      <protection locked="0"/>
    </xf>
    <xf numFmtId="0" fontId="8" fillId="6" borderId="31" xfId="0" applyFont="1" applyFill="1" applyBorder="1" applyAlignment="1" applyProtection="1">
      <protection locked="0"/>
    </xf>
    <xf numFmtId="0" fontId="0" fillId="6" borderId="22" xfId="0" applyFill="1" applyBorder="1" applyProtection="1">
      <protection locked="0"/>
    </xf>
    <xf numFmtId="0" fontId="8" fillId="6" borderId="22" xfId="0" applyFont="1" applyFill="1" applyBorder="1" applyAlignment="1" applyProtection="1">
      <protection locked="0"/>
    </xf>
    <xf numFmtId="0" fontId="0" fillId="6" borderId="20" xfId="0" applyFill="1" applyBorder="1" applyProtection="1">
      <protection locked="0"/>
    </xf>
    <xf numFmtId="0" fontId="15" fillId="6" borderId="29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19" fillId="6" borderId="0" xfId="0" applyFont="1" applyFill="1" applyBorder="1" applyAlignment="1" applyProtection="1">
      <alignment horizontal="center" vertical="center"/>
      <protection locked="0"/>
    </xf>
    <xf numFmtId="14" fontId="7" fillId="6" borderId="41" xfId="0" applyNumberFormat="1" applyFont="1" applyFill="1" applyBorder="1" applyAlignment="1" applyProtection="1">
      <alignment horizontal="center" vertical="center"/>
    </xf>
    <xf numFmtId="0" fontId="8" fillId="7" borderId="42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protection locked="0"/>
    </xf>
    <xf numFmtId="0" fontId="0" fillId="7" borderId="0" xfId="0" applyFill="1" applyProtection="1">
      <protection locked="0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10" fontId="0" fillId="0" borderId="0" xfId="0" applyNumberFormat="1" applyFill="1" applyAlignment="1" applyProtection="1">
      <alignment vertical="center"/>
      <protection locked="0"/>
    </xf>
    <xf numFmtId="165" fontId="0" fillId="0" borderId="0" xfId="4" applyFont="1" applyFill="1" applyAlignment="1">
      <alignment vertical="center"/>
    </xf>
    <xf numFmtId="165" fontId="0" fillId="0" borderId="0" xfId="4" applyFont="1" applyFill="1"/>
    <xf numFmtId="165" fontId="0" fillId="0" borderId="0" xfId="4" applyFont="1" applyFill="1" applyProtection="1">
      <protection locked="0"/>
    </xf>
    <xf numFmtId="0" fontId="21" fillId="9" borderId="21" xfId="0" applyFont="1" applyFill="1" applyBorder="1" applyAlignment="1">
      <alignment vertical="center" wrapText="1"/>
    </xf>
    <xf numFmtId="0" fontId="21" fillId="9" borderId="45" xfId="0" applyFont="1" applyFill="1" applyBorder="1" applyAlignment="1">
      <alignment vertical="center" wrapText="1"/>
    </xf>
    <xf numFmtId="1" fontId="14" fillId="8" borderId="43" xfId="0" applyNumberFormat="1" applyFont="1" applyFill="1" applyBorder="1" applyAlignment="1" applyProtection="1">
      <alignment vertical="center" wrapText="1"/>
      <protection locked="0"/>
    </xf>
    <xf numFmtId="0" fontId="19" fillId="8" borderId="44" xfId="0" applyFont="1" applyFill="1" applyBorder="1" applyAlignment="1">
      <alignment vertical="center" wrapText="1"/>
    </xf>
    <xf numFmtId="0" fontId="16" fillId="5" borderId="16" xfId="0" applyFont="1" applyFill="1" applyBorder="1" applyAlignment="1" applyProtection="1">
      <alignment horizontal="center" vertical="center" wrapText="1"/>
      <protection locked="0"/>
    </xf>
    <xf numFmtId="0" fontId="16" fillId="5" borderId="48" xfId="0" applyFont="1" applyFill="1" applyBorder="1" applyAlignment="1" applyProtection="1">
      <alignment horizontal="center" vertical="center" wrapText="1"/>
      <protection locked="0"/>
    </xf>
    <xf numFmtId="0" fontId="16" fillId="5" borderId="49" xfId="0" applyFont="1" applyFill="1" applyBorder="1" applyAlignment="1" applyProtection="1">
      <alignment horizontal="center" vertical="center"/>
      <protection locked="0"/>
    </xf>
    <xf numFmtId="1" fontId="6" fillId="8" borderId="47" xfId="0" applyNumberFormat="1" applyFont="1" applyFill="1" applyBorder="1" applyAlignment="1" applyProtection="1">
      <alignment horizontal="center" vertical="center"/>
      <protection locked="0"/>
    </xf>
    <xf numFmtId="1" fontId="17" fillId="0" borderId="28" xfId="0" applyNumberFormat="1" applyFont="1" applyBorder="1" applyAlignment="1" applyProtection="1">
      <alignment horizontal="left" vertical="center"/>
      <protection locked="0"/>
    </xf>
    <xf numFmtId="1" fontId="0" fillId="0" borderId="28" xfId="0" applyNumberFormat="1" applyBorder="1" applyAlignment="1" applyProtection="1">
      <alignment horizontal="left" vertical="center"/>
      <protection locked="0"/>
    </xf>
    <xf numFmtId="1" fontId="0" fillId="0" borderId="28" xfId="0" applyNumberFormat="1" applyBorder="1" applyAlignment="1" applyProtection="1">
      <alignment horizontal="left" vertical="top"/>
      <protection locked="0"/>
    </xf>
    <xf numFmtId="1" fontId="0" fillId="0" borderId="1" xfId="0" applyNumberForma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10" fontId="1" fillId="8" borderId="47" xfId="0" applyNumberFormat="1" applyFont="1" applyFill="1" applyBorder="1" applyAlignment="1" applyProtection="1">
      <alignment horizontal="center"/>
      <protection locked="0"/>
    </xf>
    <xf numFmtId="0" fontId="16" fillId="5" borderId="49" xfId="0" applyFont="1" applyFill="1" applyBorder="1" applyAlignment="1" applyProtection="1">
      <alignment horizontal="left" vertical="center"/>
      <protection locked="0"/>
    </xf>
    <xf numFmtId="1" fontId="0" fillId="0" borderId="27" xfId="0" applyNumberFormat="1" applyBorder="1" applyAlignment="1" applyProtection="1">
      <alignment horizontal="left" vertical="center"/>
      <protection locked="0"/>
    </xf>
    <xf numFmtId="0" fontId="0" fillId="0" borderId="27" xfId="0" applyBorder="1" applyAlignment="1" applyProtection="1">
      <alignment horizontal="left"/>
      <protection locked="0"/>
    </xf>
    <xf numFmtId="1" fontId="0" fillId="0" borderId="0" xfId="0" applyNumberForma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24" fillId="0" borderId="50" xfId="0" applyFont="1" applyFill="1" applyBorder="1"/>
    <xf numFmtId="1" fontId="17" fillId="0" borderId="50" xfId="0" applyNumberFormat="1" applyFont="1" applyBorder="1" applyAlignment="1" applyProtection="1">
      <alignment horizontal="center" vertical="center"/>
      <protection locked="0"/>
    </xf>
    <xf numFmtId="1" fontId="0" fillId="0" borderId="50" xfId="0" applyNumberFormat="1" applyBorder="1" applyAlignment="1" applyProtection="1">
      <alignment horizontal="center" vertical="center"/>
      <protection locked="0"/>
    </xf>
    <xf numFmtId="0" fontId="24" fillId="0" borderId="50" xfId="0" applyFont="1" applyFill="1" applyBorder="1" applyAlignment="1">
      <alignment horizontal="center"/>
    </xf>
    <xf numFmtId="0" fontId="0" fillId="0" borderId="50" xfId="0" applyBorder="1" applyAlignment="1" applyProtection="1">
      <alignment horizontal="center"/>
      <protection locked="0"/>
    </xf>
    <xf numFmtId="1" fontId="25" fillId="0" borderId="50" xfId="0" applyNumberFormat="1" applyFont="1" applyBorder="1" applyAlignment="1" applyProtection="1">
      <alignment horizontal="center" vertical="center"/>
      <protection locked="0"/>
    </xf>
    <xf numFmtId="0" fontId="26" fillId="0" borderId="51" xfId="0" applyFont="1" applyBorder="1" applyAlignment="1">
      <alignment horizontal="left"/>
    </xf>
    <xf numFmtId="1" fontId="26" fillId="0" borderId="51" xfId="0" applyNumberFormat="1" applyFont="1" applyBorder="1" applyAlignment="1" applyProtection="1">
      <alignment horizontal="left" vertical="center"/>
      <protection locked="0"/>
    </xf>
    <xf numFmtId="1" fontId="26" fillId="0" borderId="51" xfId="0" applyNumberFormat="1" applyFont="1" applyBorder="1" applyAlignment="1" applyProtection="1">
      <alignment horizontal="center" vertical="center"/>
      <protection locked="0"/>
    </xf>
    <xf numFmtId="0" fontId="26" fillId="0" borderId="51" xfId="0" applyFont="1" applyBorder="1" applyAlignment="1" applyProtection="1">
      <alignment horizontal="center"/>
      <protection locked="0"/>
    </xf>
    <xf numFmtId="1" fontId="27" fillId="0" borderId="51" xfId="2" applyNumberFormat="1" applyFont="1" applyBorder="1" applyAlignment="1" applyProtection="1">
      <alignment horizontal="left" vertical="center"/>
      <protection locked="0"/>
    </xf>
    <xf numFmtId="0" fontId="26" fillId="0" borderId="52" xfId="0" applyFont="1" applyBorder="1" applyAlignment="1">
      <alignment horizontal="left"/>
    </xf>
    <xf numFmtId="1" fontId="26" fillId="0" borderId="52" xfId="0" applyNumberFormat="1" applyFont="1" applyBorder="1" applyAlignment="1" applyProtection="1">
      <alignment horizontal="left" vertical="center"/>
      <protection locked="0"/>
    </xf>
    <xf numFmtId="1" fontId="26" fillId="0" borderId="52" xfId="0" applyNumberFormat="1" applyFont="1" applyBorder="1" applyAlignment="1" applyProtection="1">
      <alignment horizontal="center" vertical="center"/>
      <protection locked="0"/>
    </xf>
    <xf numFmtId="0" fontId="26" fillId="0" borderId="52" xfId="0" applyFont="1" applyBorder="1" applyAlignment="1" applyProtection="1">
      <alignment horizontal="center"/>
      <protection locked="0"/>
    </xf>
    <xf numFmtId="0" fontId="26" fillId="0" borderId="52" xfId="0" applyFont="1" applyBorder="1" applyAlignment="1" applyProtection="1">
      <alignment horizontal="left"/>
      <protection locked="0"/>
    </xf>
    <xf numFmtId="1" fontId="28" fillId="0" borderId="52" xfId="2" applyNumberFormat="1" applyFont="1" applyBorder="1" applyAlignment="1" applyProtection="1">
      <alignment horizontal="left" vertical="center"/>
      <protection locked="0"/>
    </xf>
    <xf numFmtId="1" fontId="29" fillId="0" borderId="52" xfId="0" applyNumberFormat="1" applyFont="1" applyBorder="1" applyAlignment="1" applyProtection="1">
      <alignment horizontal="left" vertical="center"/>
      <protection locked="0"/>
    </xf>
    <xf numFmtId="1" fontId="23" fillId="0" borderId="52" xfId="0" applyNumberFormat="1" applyFont="1" applyBorder="1" applyAlignment="1" applyProtection="1">
      <alignment horizontal="left" vertical="center"/>
      <protection locked="0"/>
    </xf>
    <xf numFmtId="1" fontId="23" fillId="0" borderId="52" xfId="0" applyNumberFormat="1" applyFont="1" applyBorder="1" applyAlignment="1" applyProtection="1">
      <alignment horizontal="center" vertical="center"/>
      <protection locked="0"/>
    </xf>
    <xf numFmtId="1" fontId="29" fillId="0" borderId="28" xfId="0" applyNumberFormat="1" applyFont="1" applyBorder="1" applyAlignment="1" applyProtection="1">
      <alignment horizontal="left" vertical="center"/>
      <protection locked="0"/>
    </xf>
    <xf numFmtId="1" fontId="23" fillId="0" borderId="1" xfId="0" applyNumberFormat="1" applyFont="1" applyBorder="1" applyAlignment="1" applyProtection="1">
      <alignment horizontal="left" vertical="center"/>
      <protection locked="0"/>
    </xf>
    <xf numFmtId="1" fontId="23" fillId="0" borderId="0" xfId="0" applyNumberFormat="1" applyFont="1" applyBorder="1" applyAlignment="1" applyProtection="1">
      <alignment horizontal="left" vertical="center"/>
      <protection locked="0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1" fontId="23" fillId="0" borderId="1" xfId="0" applyNumberFormat="1" applyFont="1" applyBorder="1" applyAlignment="1" applyProtection="1">
      <alignment horizontal="center" vertical="center"/>
      <protection locked="0"/>
    </xf>
    <xf numFmtId="1" fontId="23" fillId="0" borderId="27" xfId="0" applyNumberFormat="1" applyFont="1" applyBorder="1" applyAlignment="1" applyProtection="1">
      <alignment horizontal="center" vertical="center"/>
      <protection locked="0"/>
    </xf>
    <xf numFmtId="1" fontId="23" fillId="0" borderId="27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0" borderId="50" xfId="0" applyBorder="1" applyAlignment="1">
      <alignment horizontal="center"/>
    </xf>
    <xf numFmtId="1" fontId="5" fillId="0" borderId="52" xfId="2" applyNumberFormat="1" applyBorder="1" applyAlignment="1" applyProtection="1">
      <alignment horizontal="left" vertical="center"/>
      <protection locked="0"/>
    </xf>
    <xf numFmtId="1" fontId="26" fillId="7" borderId="52" xfId="0" applyNumberFormat="1" applyFont="1" applyFill="1" applyBorder="1" applyAlignment="1" applyProtection="1">
      <alignment horizontal="left" vertical="center"/>
      <protection locked="0"/>
    </xf>
    <xf numFmtId="1" fontId="31" fillId="0" borderId="50" xfId="0" applyNumberFormat="1" applyFont="1" applyBorder="1" applyAlignment="1" applyProtection="1">
      <alignment horizontal="center" vertical="center"/>
      <protection locked="0"/>
    </xf>
    <xf numFmtId="0" fontId="24" fillId="0" borderId="50" xfId="0" applyFont="1" applyBorder="1"/>
    <xf numFmtId="0" fontId="17" fillId="0" borderId="50" xfId="0" applyFont="1" applyBorder="1" applyAlignment="1">
      <alignment horizontal="left"/>
    </xf>
    <xf numFmtId="0" fontId="24" fillId="0" borderId="50" xfId="0" applyFont="1" applyBorder="1" applyAlignment="1">
      <alignment horizontal="center"/>
    </xf>
    <xf numFmtId="0" fontId="31" fillId="0" borderId="50" xfId="0" applyFont="1" applyBorder="1" applyAlignment="1">
      <alignment horizontal="center"/>
    </xf>
    <xf numFmtId="1" fontId="17" fillId="0" borderId="50" xfId="0" applyNumberFormat="1" applyFont="1" applyBorder="1" applyAlignment="1" applyProtection="1">
      <alignment horizontal="left" vertical="center"/>
      <protection locked="0"/>
    </xf>
    <xf numFmtId="1" fontId="0" fillId="0" borderId="50" xfId="0" applyNumberFormat="1" applyBorder="1" applyAlignment="1" applyProtection="1">
      <alignment horizontal="center" vertical="top"/>
      <protection locked="0"/>
    </xf>
    <xf numFmtId="0" fontId="31" fillId="0" borderId="50" xfId="0" applyFont="1" applyFill="1" applyBorder="1" applyAlignment="1">
      <alignment horizontal="center"/>
    </xf>
    <xf numFmtId="14" fontId="0" fillId="0" borderId="50" xfId="0" applyNumberFormat="1" applyBorder="1" applyAlignment="1" applyProtection="1">
      <alignment horizontal="center"/>
      <protection locked="0"/>
    </xf>
    <xf numFmtId="0" fontId="32" fillId="0" borderId="50" xfId="0" applyFont="1" applyBorder="1" applyAlignment="1">
      <alignment horizontal="left"/>
    </xf>
    <xf numFmtId="1" fontId="33" fillId="0" borderId="50" xfId="0" applyNumberFormat="1" applyFont="1" applyBorder="1" applyAlignment="1" applyProtection="1">
      <alignment horizontal="left" vertical="center"/>
      <protection locked="0"/>
    </xf>
    <xf numFmtId="0" fontId="32" fillId="0" borderId="5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7" borderId="0" xfId="0" applyFill="1" applyAlignment="1">
      <alignment wrapText="1"/>
    </xf>
    <xf numFmtId="0" fontId="21" fillId="9" borderId="45" xfId="0" applyFont="1" applyFill="1" applyBorder="1" applyAlignment="1" applyProtection="1">
      <alignment horizontal="center" vertical="center" wrapText="1"/>
      <protection locked="0"/>
    </xf>
    <xf numFmtId="0" fontId="21" fillId="9" borderId="46" xfId="0" applyFont="1" applyFill="1" applyBorder="1" applyAlignment="1" applyProtection="1">
      <alignment horizontal="center" vertical="center" wrapText="1"/>
      <protection locked="0"/>
    </xf>
    <xf numFmtId="0" fontId="1" fillId="3" borderId="34" xfId="0" applyFont="1" applyFill="1" applyBorder="1" applyAlignment="1" applyProtection="1">
      <alignment horizontal="center" vertical="center" wrapText="1"/>
    </xf>
    <xf numFmtId="0" fontId="1" fillId="3" borderId="35" xfId="0" applyFont="1" applyFill="1" applyBorder="1" applyAlignment="1" applyProtection="1">
      <alignment horizontal="center" vertical="center" wrapText="1"/>
    </xf>
    <xf numFmtId="0" fontId="0" fillId="0" borderId="36" xfId="0" applyBorder="1" applyAlignment="1" applyProtection="1">
      <alignment vertical="top" wrapText="1"/>
      <protection locked="0"/>
    </xf>
    <xf numFmtId="0" fontId="0" fillId="0" borderId="37" xfId="0" applyBorder="1" applyAlignment="1" applyProtection="1">
      <alignment vertical="top" wrapText="1"/>
      <protection locked="0"/>
    </xf>
    <xf numFmtId="0" fontId="11" fillId="2" borderId="6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>
      <alignment horizontal="center" vertical="center" wrapText="1"/>
    </xf>
    <xf numFmtId="0" fontId="11" fillId="2" borderId="38" xfId="0" applyFont="1" applyFill="1" applyBorder="1" applyAlignment="1" applyProtection="1">
      <alignment horizontal="center" vertical="center" wrapText="1"/>
      <protection locked="0"/>
    </xf>
    <xf numFmtId="0" fontId="11" fillId="2" borderId="39" xfId="0" applyFont="1" applyFill="1" applyBorder="1" applyAlignment="1" applyProtection="1">
      <alignment horizontal="center" vertical="center" wrapText="1"/>
      <protection locked="0"/>
    </xf>
    <xf numFmtId="0" fontId="11" fillId="2" borderId="6" xfId="0" applyFont="1" applyFill="1" applyBorder="1" applyAlignment="1" applyProtection="1">
      <alignment horizontal="center" vertical="center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11" fillId="2" borderId="5" xfId="0" applyFont="1" applyFill="1" applyBorder="1" applyAlignment="1" applyProtection="1">
      <alignment horizontal="center" vertical="center" wrapText="1"/>
      <protection locked="0"/>
    </xf>
    <xf numFmtId="0" fontId="13" fillId="2" borderId="5" xfId="0" applyFont="1" applyFill="1" applyBorder="1" applyAlignment="1" applyProtection="1">
      <alignment horizontal="center" vertical="center" wrapText="1"/>
      <protection locked="0"/>
    </xf>
    <xf numFmtId="0" fontId="11" fillId="2" borderId="32" xfId="0" applyFont="1" applyFill="1" applyBorder="1" applyAlignment="1" applyProtection="1">
      <alignment horizontal="center" vertical="center" wrapText="1"/>
      <protection locked="0"/>
    </xf>
    <xf numFmtId="0" fontId="11" fillId="2" borderId="33" xfId="0" applyFont="1" applyFill="1" applyBorder="1" applyAlignment="1" applyProtection="1">
      <alignment horizontal="center" vertical="center" wrapText="1"/>
      <protection locked="0"/>
    </xf>
  </cellXfs>
  <cellStyles count="5">
    <cellStyle name="Euro" xfId="1"/>
    <cellStyle name="Lien hypertexte" xfId="2" builtinId="8"/>
    <cellStyle name="Milliers" xfId="4" builtinId="3"/>
    <cellStyle name="Normal" xfId="0" builtinId="0"/>
    <cellStyle name="Pourcentage" xfId="3" builtinId="5"/>
  </cellStyles>
  <dxfs count="3">
    <dxf>
      <font>
        <condense val="0"/>
        <extend val="0"/>
        <color indexed="9"/>
      </font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1318260</xdr:colOff>
          <xdr:row>6</xdr:row>
          <xdr:rowOff>228600</xdr:rowOff>
        </xdr:from>
        <xdr:to>
          <xdr:col>5</xdr:col>
          <xdr:colOff>2446020</xdr:colOff>
          <xdr:row>10</xdr:row>
          <xdr:rowOff>30480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un contact Externe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6</xdr:row>
          <xdr:rowOff>259080</xdr:rowOff>
        </xdr:from>
        <xdr:to>
          <xdr:col>4</xdr:col>
          <xdr:colOff>297180</xdr:colOff>
          <xdr:row>10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un contact interne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257174</xdr:colOff>
      <xdr:row>1</xdr:row>
      <xdr:rowOff>219074</xdr:rowOff>
    </xdr:from>
    <xdr:ext cx="3305175" cy="685801"/>
    <xdr:pic>
      <xdr:nvPicPr>
        <xdr:cNvPr id="6" name="Image 5" descr="Logo ssd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4" y="361949"/>
          <a:ext cx="3305175" cy="685801"/>
        </a:xfrm>
        <a:prstGeom prst="rect">
          <a:avLst/>
        </a:prstGeom>
        <a:noFill/>
        <a:ln>
          <a:noFill/>
        </a:ln>
        <a:extLst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0</xdr:row>
          <xdr:rowOff>7620</xdr:rowOff>
        </xdr:from>
        <xdr:to>
          <xdr:col>9</xdr:col>
          <xdr:colOff>807720</xdr:colOff>
          <xdr:row>1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ffectation" connectionId="1" autoFormatId="16" applyNumberFormats="0" applyBorderFormats="0" applyFontFormats="0" applyPatternFormats="0" applyAlignmentFormats="0" applyWidthHeightFormats="0">
  <queryTableRefresh nextId="22">
    <queryTableFields count="4">
      <queryTableField id="1" name="matricule" tableColumnId="1"/>
      <queryTableField id="21" dataBound="0" tableColumnId="22"/>
      <queryTableField id="10" name="lib_complet" tableColumnId="10"/>
      <queryTableField id="11" name="chantier" tableColumnId="11"/>
    </queryTableFields>
    <queryTableDeletedFields count="17">
      <deletedField name="poste"/>
      <deletedField name="matric_superieur"/>
      <deletedField name="sce"/>
      <deletedField name="etb"/>
      <deletedField name="lib_complet"/>
      <deletedField name="sce"/>
      <deletedField name="dt_entree"/>
      <deletedField name="fin_contrat"/>
      <deletedField name="NO_SS"/>
      <deletedField name="CIVILITE"/>
      <deletedField name="droit_a_la_paie"/>
      <deletedField name="uo"/>
      <deletedField name="unite_org"/>
      <deletedField name="CATEGORIE_PROF"/>
      <deletedField name="intitule"/>
      <deletedField name="nom"/>
      <deletedField name="prenom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au_Affectation" displayName="Tableau_Affectation" ref="A1:D411" tableType="queryTable" totalsRowShown="0">
  <autoFilter ref="A1:D411">
    <filterColumn colId="2">
      <filters>
        <filter val="Service Administration du Personnel"/>
        <filter val="Service Services Généraux"/>
      </filters>
    </filterColumn>
  </autoFilter>
  <sortState ref="A2:E11795">
    <sortCondition ref="A2:A11795"/>
  </sortState>
  <tableColumns count="4">
    <tableColumn id="1" uniqueName="1" name="matricule" queryTableFieldId="1" dataDxfId="2"/>
    <tableColumn id="22" uniqueName="22" name="Nom et Prénom" queryTableFieldId="21" dataDxfId="1"/>
    <tableColumn id="10" uniqueName="10" name="Affectation" queryTableFieldId="10"/>
    <tableColumn id="11" uniqueName="11" name="chantier" queryTableField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abousettah@ssd.ma" TargetMode="External"/><Relationship Id="rId117" Type="http://schemas.openxmlformats.org/officeDocument/2006/relationships/hyperlink" Target="mailto:aguennouni@ssd.ma" TargetMode="External"/><Relationship Id="rId21" Type="http://schemas.openxmlformats.org/officeDocument/2006/relationships/hyperlink" Target="mailto:mbenkirane@ssd.ma" TargetMode="External"/><Relationship Id="rId42" Type="http://schemas.openxmlformats.org/officeDocument/2006/relationships/hyperlink" Target="mailto:melhaouzi@ssd.ma" TargetMode="External"/><Relationship Id="rId47" Type="http://schemas.openxmlformats.org/officeDocument/2006/relationships/hyperlink" Target="mailto:aezzerari@ssd.ma" TargetMode="External"/><Relationship Id="rId63" Type="http://schemas.openxmlformats.org/officeDocument/2006/relationships/hyperlink" Target="mailto:nkhairi@ssd.ma" TargetMode="External"/><Relationship Id="rId68" Type="http://schemas.openxmlformats.org/officeDocument/2006/relationships/hyperlink" Target="mailto:alembarki@ssd.ma" TargetMode="External"/><Relationship Id="rId84" Type="http://schemas.openxmlformats.org/officeDocument/2006/relationships/hyperlink" Target="mailto:mreda@ssd.ma" TargetMode="External"/><Relationship Id="rId89" Type="http://schemas.openxmlformats.org/officeDocument/2006/relationships/hyperlink" Target="mailto:iskalli@ssd.ma" TargetMode="External"/><Relationship Id="rId112" Type="http://schemas.openxmlformats.org/officeDocument/2006/relationships/hyperlink" Target="mailto:aamrani@ssd.ma" TargetMode="External"/><Relationship Id="rId16" Type="http://schemas.openxmlformats.org/officeDocument/2006/relationships/hyperlink" Target="mailto:nbassiti@ssd.ma" TargetMode="External"/><Relationship Id="rId107" Type="http://schemas.openxmlformats.org/officeDocument/2006/relationships/hyperlink" Target="mailto:delmai@ssd.ma" TargetMode="External"/><Relationship Id="rId11" Type="http://schemas.openxmlformats.org/officeDocument/2006/relationships/hyperlink" Target="mailto:tamine@ssd.ma" TargetMode="External"/><Relationship Id="rId32" Type="http://schemas.openxmlformats.org/officeDocument/2006/relationships/hyperlink" Target="mailto:adaamouche@ssd.ma" TargetMode="External"/><Relationship Id="rId37" Type="http://schemas.openxmlformats.org/officeDocument/2006/relationships/hyperlink" Target="mailto:aelamrani@ssd.ma" TargetMode="External"/><Relationship Id="rId53" Type="http://schemas.openxmlformats.org/officeDocument/2006/relationships/hyperlink" Target="mailto:aghouraib@ssd.ma" TargetMode="External"/><Relationship Id="rId58" Type="http://schemas.openxmlformats.org/officeDocument/2006/relationships/hyperlink" Target="mailto:mimanssar@ssd.ma" TargetMode="External"/><Relationship Id="rId74" Type="http://schemas.openxmlformats.org/officeDocument/2006/relationships/hyperlink" Target="mailto:maoutil@ssd.ma" TargetMode="External"/><Relationship Id="rId79" Type="http://schemas.openxmlformats.org/officeDocument/2006/relationships/hyperlink" Target="mailto:ynaji@ssd.ma" TargetMode="External"/><Relationship Id="rId102" Type="http://schemas.openxmlformats.org/officeDocument/2006/relationships/hyperlink" Target="mailto:hgargouh@ssd.ma" TargetMode="External"/><Relationship Id="rId123" Type="http://schemas.openxmlformats.org/officeDocument/2006/relationships/vmlDrawing" Target="../drawings/vmlDrawing2.vml"/><Relationship Id="rId5" Type="http://schemas.openxmlformats.org/officeDocument/2006/relationships/hyperlink" Target="mailto:relfchtali@ssd.ma" TargetMode="External"/><Relationship Id="rId61" Type="http://schemas.openxmlformats.org/officeDocument/2006/relationships/hyperlink" Target="mailto:hkamal@ssd.ma" TargetMode="External"/><Relationship Id="rId82" Type="http://schemas.openxmlformats.org/officeDocument/2006/relationships/hyperlink" Target="mailto:frahmouni@ssd.ma" TargetMode="External"/><Relationship Id="rId90" Type="http://schemas.openxmlformats.org/officeDocument/2006/relationships/hyperlink" Target="mailto:hsouf@ssd.ma" TargetMode="External"/><Relationship Id="rId95" Type="http://schemas.openxmlformats.org/officeDocument/2006/relationships/hyperlink" Target="mailto:ztounsadi@ssd.ma" TargetMode="External"/><Relationship Id="rId19" Type="http://schemas.openxmlformats.org/officeDocument/2006/relationships/hyperlink" Target="mailto:cbenachour@ssd.ma" TargetMode="External"/><Relationship Id="rId14" Type="http://schemas.openxmlformats.org/officeDocument/2006/relationships/hyperlink" Target="mailto:aatfi@ssd.ma" TargetMode="External"/><Relationship Id="rId22" Type="http://schemas.openxmlformats.org/officeDocument/2006/relationships/hyperlink" Target="mailto:mboualem@ssd.ma" TargetMode="External"/><Relationship Id="rId27" Type="http://schemas.openxmlformats.org/officeDocument/2006/relationships/hyperlink" Target="mailto:mboutmezguine@ssd.ma" TargetMode="External"/><Relationship Id="rId30" Type="http://schemas.openxmlformats.org/officeDocument/2006/relationships/hyperlink" Target="mailto:ychalekha@ssd.ma" TargetMode="External"/><Relationship Id="rId35" Type="http://schemas.openxmlformats.org/officeDocument/2006/relationships/hyperlink" Target="mailto:heddarbani@ssd.ma" TargetMode="External"/><Relationship Id="rId43" Type="http://schemas.openxmlformats.org/officeDocument/2006/relationships/hyperlink" Target="mailto:ielidrissi@ssd.ma" TargetMode="External"/><Relationship Id="rId48" Type="http://schemas.openxmlformats.org/officeDocument/2006/relationships/hyperlink" Target="mailto:sfarid@ssd.ma" TargetMode="External"/><Relationship Id="rId56" Type="http://schemas.openxmlformats.org/officeDocument/2006/relationships/hyperlink" Target="mailto:mhdia@ssd.ma" TargetMode="External"/><Relationship Id="rId64" Type="http://schemas.openxmlformats.org/officeDocument/2006/relationships/hyperlink" Target="mailto:mlafdili@ssd.ma" TargetMode="External"/><Relationship Id="rId69" Type="http://schemas.openxmlformats.org/officeDocument/2006/relationships/hyperlink" Target="mailto:slouarti@ssd.ma" TargetMode="External"/><Relationship Id="rId77" Type="http://schemas.openxmlformats.org/officeDocument/2006/relationships/hyperlink" Target="mailto:mmzaki@ssd.ma" TargetMode="External"/><Relationship Id="rId100" Type="http://schemas.openxmlformats.org/officeDocument/2006/relationships/hyperlink" Target="mailto:szehaf@ssd.ma" TargetMode="External"/><Relationship Id="rId105" Type="http://schemas.openxmlformats.org/officeDocument/2006/relationships/hyperlink" Target="mailto:aazemz@ssd.ma" TargetMode="External"/><Relationship Id="rId113" Type="http://schemas.openxmlformats.org/officeDocument/2006/relationships/hyperlink" Target="mailto:yfaiz@ssd.ma" TargetMode="External"/><Relationship Id="rId118" Type="http://schemas.openxmlformats.org/officeDocument/2006/relationships/hyperlink" Target="mailto:mlagraini@ssd.ma" TargetMode="External"/><Relationship Id="rId8" Type="http://schemas.openxmlformats.org/officeDocument/2006/relationships/hyperlink" Target="mailto:aadraoui@ssd.ma" TargetMode="External"/><Relationship Id="rId51" Type="http://schemas.openxmlformats.org/officeDocument/2006/relationships/hyperlink" Target="mailto:tdatihi@ssd.ma" TargetMode="External"/><Relationship Id="rId72" Type="http://schemas.openxmlformats.org/officeDocument/2006/relationships/hyperlink" Target="mailto:asnah@ssd.ma" TargetMode="External"/><Relationship Id="rId80" Type="http://schemas.openxmlformats.org/officeDocument/2006/relationships/hyperlink" Target="mailto:aomari@ssd.ma" TargetMode="External"/><Relationship Id="rId85" Type="http://schemas.openxmlformats.org/officeDocument/2006/relationships/hyperlink" Target="mailto:asabri@ssd.ma" TargetMode="External"/><Relationship Id="rId93" Type="http://schemas.openxmlformats.org/officeDocument/2006/relationships/hyperlink" Target="mailto:mtanarait@ssd.ma" TargetMode="External"/><Relationship Id="rId98" Type="http://schemas.openxmlformats.org/officeDocument/2006/relationships/hyperlink" Target="mailto:znajmi@ssd.ma" TargetMode="External"/><Relationship Id="rId121" Type="http://schemas.openxmlformats.org/officeDocument/2006/relationships/hyperlink" Target="mailto:khasam@ssd.ma" TargetMode="External"/><Relationship Id="rId3" Type="http://schemas.openxmlformats.org/officeDocument/2006/relationships/hyperlink" Target="mailto:aazlag@ssd.ma" TargetMode="External"/><Relationship Id="rId12" Type="http://schemas.openxmlformats.org/officeDocument/2006/relationships/hyperlink" Target="mailto:rantalik@ssd.ma" TargetMode="External"/><Relationship Id="rId17" Type="http://schemas.openxmlformats.org/officeDocument/2006/relationships/hyperlink" Target="mailto:ibelallam@ssd.ma" TargetMode="External"/><Relationship Id="rId25" Type="http://schemas.openxmlformats.org/officeDocument/2006/relationships/hyperlink" Target="mailto:abounou@ssd.ma" TargetMode="External"/><Relationship Id="rId33" Type="http://schemas.openxmlformats.org/officeDocument/2006/relationships/hyperlink" Target="mailto:mossisa@ssd.ma" TargetMode="External"/><Relationship Id="rId38" Type="http://schemas.openxmlformats.org/officeDocument/2006/relationships/hyperlink" Target="mailto:nelazouzi@ssd.ma" TargetMode="External"/><Relationship Id="rId46" Type="http://schemas.openxmlformats.org/officeDocument/2006/relationships/hyperlink" Target="mailto:aezzaou@ssd.ma" TargetMode="External"/><Relationship Id="rId59" Type="http://schemas.openxmlformats.org/officeDocument/2006/relationships/hyperlink" Target="mailto:ymeait@ssd.ma" TargetMode="External"/><Relationship Id="rId67" Type="http://schemas.openxmlformats.org/officeDocument/2006/relationships/hyperlink" Target="mailto:alarouache@ssd.ma" TargetMode="External"/><Relationship Id="rId103" Type="http://schemas.openxmlformats.org/officeDocument/2006/relationships/hyperlink" Target="mailto:drahmi@ssd.ma" TargetMode="External"/><Relationship Id="rId108" Type="http://schemas.openxmlformats.org/officeDocument/2006/relationships/hyperlink" Target="mailto:aelaisaouaali@ssd.ma" TargetMode="External"/><Relationship Id="rId116" Type="http://schemas.openxmlformats.org/officeDocument/2006/relationships/hyperlink" Target="mailto:maitalla@ssd.ma" TargetMode="External"/><Relationship Id="rId124" Type="http://schemas.openxmlformats.org/officeDocument/2006/relationships/ctrlProp" Target="../ctrlProps/ctrlProp3.xml"/><Relationship Id="rId20" Type="http://schemas.openxmlformats.org/officeDocument/2006/relationships/hyperlink" Target="mailto:mbenbella@ssd.ma" TargetMode="External"/><Relationship Id="rId41" Type="http://schemas.openxmlformats.org/officeDocument/2006/relationships/hyperlink" Target="mailto:aelhaggar@ssd.ma" TargetMode="External"/><Relationship Id="rId54" Type="http://schemas.openxmlformats.org/officeDocument/2006/relationships/hyperlink" Target="mailto:ohamadi@ssd.ma" TargetMode="External"/><Relationship Id="rId62" Type="http://schemas.openxmlformats.org/officeDocument/2006/relationships/hyperlink" Target="mailto:okannour@ssd.ma" TargetMode="External"/><Relationship Id="rId70" Type="http://schemas.openxmlformats.org/officeDocument/2006/relationships/hyperlink" Target="mailto:mmachhour@ssd.ma" TargetMode="External"/><Relationship Id="rId75" Type="http://schemas.openxmlformats.org/officeDocument/2006/relationships/hyperlink" Target="mailto:imouhieddine@ssd.ma" TargetMode="External"/><Relationship Id="rId83" Type="http://schemas.openxmlformats.org/officeDocument/2006/relationships/hyperlink" Target="mailto:yrakib@ssd.ma" TargetMode="External"/><Relationship Id="rId88" Type="http://schemas.openxmlformats.org/officeDocument/2006/relationships/hyperlink" Target="mailto:dserhane@ssd.ma" TargetMode="External"/><Relationship Id="rId91" Type="http://schemas.openxmlformats.org/officeDocument/2006/relationships/hyperlink" Target="mailto:mtahir@ssd.ma" TargetMode="External"/><Relationship Id="rId96" Type="http://schemas.openxmlformats.org/officeDocument/2006/relationships/hyperlink" Target="mailto:ztouzani@ssd.ma" TargetMode="External"/><Relationship Id="rId111" Type="http://schemas.openxmlformats.org/officeDocument/2006/relationships/hyperlink" Target="mailto:ssadik@ssd.ma" TargetMode="External"/><Relationship Id="rId1" Type="http://schemas.openxmlformats.org/officeDocument/2006/relationships/hyperlink" Target="mailto:melakkad@ssd.ma" TargetMode="External"/><Relationship Id="rId6" Type="http://schemas.openxmlformats.org/officeDocument/2006/relationships/hyperlink" Target="mailto:mbarhane@ssd.ma" TargetMode="External"/><Relationship Id="rId15" Type="http://schemas.openxmlformats.org/officeDocument/2006/relationships/hyperlink" Target="mailto:sbahhar@ssd.ma" TargetMode="External"/><Relationship Id="rId23" Type="http://schemas.openxmlformats.org/officeDocument/2006/relationships/hyperlink" Target="mailto:nbouchrih@ssd.ma" TargetMode="External"/><Relationship Id="rId28" Type="http://schemas.openxmlformats.org/officeDocument/2006/relationships/hyperlink" Target="mailto:schaanoun@ssd.ma" TargetMode="External"/><Relationship Id="rId36" Type="http://schemas.openxmlformats.org/officeDocument/2006/relationships/hyperlink" Target="mailto:hediani@ssd.ma" TargetMode="External"/><Relationship Id="rId49" Type="http://schemas.openxmlformats.org/officeDocument/2006/relationships/hyperlink" Target="mailto:lfassifihri@ssd.ma" TargetMode="External"/><Relationship Id="rId57" Type="http://schemas.openxmlformats.org/officeDocument/2006/relationships/hyperlink" Target="mailto:ahenane@ssd.ma" TargetMode="External"/><Relationship Id="rId106" Type="http://schemas.openxmlformats.org/officeDocument/2006/relationships/hyperlink" Target="mailto:mazim@ssd.ma" TargetMode="External"/><Relationship Id="rId114" Type="http://schemas.openxmlformats.org/officeDocument/2006/relationships/hyperlink" Target="mailto:mharrou@ssd.ma" TargetMode="External"/><Relationship Id="rId119" Type="http://schemas.openxmlformats.org/officeDocument/2006/relationships/hyperlink" Target="mailto:nlakhal@ssd.ma" TargetMode="External"/><Relationship Id="rId10" Type="http://schemas.openxmlformats.org/officeDocument/2006/relationships/hyperlink" Target="mailto:ssd_metallurgie@ssd.ma" TargetMode="External"/><Relationship Id="rId31" Type="http://schemas.openxmlformats.org/officeDocument/2006/relationships/hyperlink" Target="mailto:acherraf@ssd.ma" TargetMode="External"/><Relationship Id="rId44" Type="http://schemas.openxmlformats.org/officeDocument/2006/relationships/hyperlink" Target="mailto:selhaimer@ssd.ma" TargetMode="External"/><Relationship Id="rId52" Type="http://schemas.openxmlformats.org/officeDocument/2006/relationships/hyperlink" Target="mailto:bwfilali@ssd.ma" TargetMode="External"/><Relationship Id="rId60" Type="http://schemas.openxmlformats.org/officeDocument/2006/relationships/hyperlink" Target="mailto:lmahjabi@ssd.ma" TargetMode="External"/><Relationship Id="rId65" Type="http://schemas.openxmlformats.org/officeDocument/2006/relationships/hyperlink" Target="mailto:ylagaoui@ssd.ma" TargetMode="External"/><Relationship Id="rId73" Type="http://schemas.openxmlformats.org/officeDocument/2006/relationships/hyperlink" Target="mailto:mguennoui@ssd.ma" TargetMode="External"/><Relationship Id="rId78" Type="http://schemas.openxmlformats.org/officeDocument/2006/relationships/hyperlink" Target="mailto:rnafki@ssd.ma" TargetMode="External"/><Relationship Id="rId81" Type="http://schemas.openxmlformats.org/officeDocument/2006/relationships/hyperlink" Target="mailto:mouhmidou@ssd.ma" TargetMode="External"/><Relationship Id="rId86" Type="http://schemas.openxmlformats.org/officeDocument/2006/relationships/hyperlink" Target="mailto:msadik@ssd.ma" TargetMode="External"/><Relationship Id="rId94" Type="http://schemas.openxmlformats.org/officeDocument/2006/relationships/hyperlink" Target="mailto:ytazroute@ssd.ma" TargetMode="External"/><Relationship Id="rId99" Type="http://schemas.openxmlformats.org/officeDocument/2006/relationships/hyperlink" Target="mailto:szanrhour@ssd.ma" TargetMode="External"/><Relationship Id="rId101" Type="http://schemas.openxmlformats.org/officeDocument/2006/relationships/hyperlink" Target="mailto:yzitouni@ssd.ma" TargetMode="External"/><Relationship Id="rId122" Type="http://schemas.openxmlformats.org/officeDocument/2006/relationships/drawing" Target="../drawings/drawing2.xml"/><Relationship Id="rId4" Type="http://schemas.openxmlformats.org/officeDocument/2006/relationships/hyperlink" Target="mailto:aennassiri@ssd.ma" TargetMode="External"/><Relationship Id="rId9" Type="http://schemas.openxmlformats.org/officeDocument/2006/relationships/hyperlink" Target="mailto:maitbraim@ssd.ma" TargetMode="External"/><Relationship Id="rId13" Type="http://schemas.openxmlformats.org/officeDocument/2006/relationships/hyperlink" Target="mailto:aaouzioui@ssd.ma" TargetMode="External"/><Relationship Id="rId18" Type="http://schemas.openxmlformats.org/officeDocument/2006/relationships/hyperlink" Target="mailto:mbelasri@.ssdma" TargetMode="External"/><Relationship Id="rId39" Type="http://schemas.openxmlformats.org/officeDocument/2006/relationships/hyperlink" Target="mailto:kelbalaili@ssd.ma" TargetMode="External"/><Relationship Id="rId109" Type="http://schemas.openxmlformats.org/officeDocument/2006/relationships/hyperlink" Target="mailto:messadeq@ssd.ma" TargetMode="External"/><Relationship Id="rId34" Type="http://schemas.openxmlformats.org/officeDocument/2006/relationships/hyperlink" Target="mailto:hdarnif@ssd.ma" TargetMode="External"/><Relationship Id="rId50" Type="http://schemas.openxmlformats.org/officeDocument/2006/relationships/hyperlink" Target="mailto:afathallah@ssd.ma" TargetMode="External"/><Relationship Id="rId55" Type="http://schemas.openxmlformats.org/officeDocument/2006/relationships/hyperlink" Target="mailto:hhanoun@ssd.ma" TargetMode="External"/><Relationship Id="rId76" Type="http://schemas.openxmlformats.org/officeDocument/2006/relationships/hyperlink" Target="mailto:cmoumtaz@ssd.ma" TargetMode="External"/><Relationship Id="rId97" Type="http://schemas.openxmlformats.org/officeDocument/2006/relationships/hyperlink" Target="mailto:nzaazoui@ssd.ma" TargetMode="External"/><Relationship Id="rId104" Type="http://schemas.openxmlformats.org/officeDocument/2006/relationships/hyperlink" Target="mailto:ielmouftaquir@ssd.ma" TargetMode="External"/><Relationship Id="rId120" Type="http://schemas.openxmlformats.org/officeDocument/2006/relationships/hyperlink" Target="mailto:rhablou@ssd.ma" TargetMode="External"/><Relationship Id="rId7" Type="http://schemas.openxmlformats.org/officeDocument/2006/relationships/hyperlink" Target="mailto:kabourabia@ssd.ma" TargetMode="External"/><Relationship Id="rId71" Type="http://schemas.openxmlformats.org/officeDocument/2006/relationships/hyperlink" Target="mailto:mmarhraoui@ssd.ma" TargetMode="External"/><Relationship Id="rId92" Type="http://schemas.openxmlformats.org/officeDocument/2006/relationships/hyperlink" Target="mailto:htaib@ssd.ma" TargetMode="External"/><Relationship Id="rId2" Type="http://schemas.openxmlformats.org/officeDocument/2006/relationships/hyperlink" Target="mailto:aatfi@ssd.ma" TargetMode="External"/><Relationship Id="rId29" Type="http://schemas.openxmlformats.org/officeDocument/2006/relationships/hyperlink" Target="mailto:fchakir@ssd.ma" TargetMode="External"/><Relationship Id="rId24" Type="http://schemas.openxmlformats.org/officeDocument/2006/relationships/hyperlink" Target="mailto:aboumal@ssd.ma" TargetMode="External"/><Relationship Id="rId40" Type="http://schemas.openxmlformats.org/officeDocument/2006/relationships/hyperlink" Target="mailto:melfekir@ssd.ma" TargetMode="External"/><Relationship Id="rId45" Type="http://schemas.openxmlformats.org/officeDocument/2006/relationships/hyperlink" Target="mailto:ressaidy@ssd.ma" TargetMode="External"/><Relationship Id="rId66" Type="http://schemas.openxmlformats.org/officeDocument/2006/relationships/hyperlink" Target="mailto:klamiaa@ssd.ma" TargetMode="External"/><Relationship Id="rId87" Type="http://schemas.openxmlformats.org/officeDocument/2006/relationships/hyperlink" Target="mailto:msamaouate@ssd.ma" TargetMode="External"/><Relationship Id="rId110" Type="http://schemas.openxmlformats.org/officeDocument/2006/relationships/hyperlink" Target="mailto:ofikri@ssd.ma" TargetMode="External"/><Relationship Id="rId115" Type="http://schemas.openxmlformats.org/officeDocument/2006/relationships/hyperlink" Target="mailto:rabidar@ssd.m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2060"/>
  </sheetPr>
  <dimension ref="A1:J19"/>
  <sheetViews>
    <sheetView showGridLines="0" workbookViewId="0">
      <selection activeCell="C7" sqref="C7"/>
    </sheetView>
  </sheetViews>
  <sheetFormatPr baseColWidth="10" defaultColWidth="11.44140625" defaultRowHeight="14.4" x14ac:dyDescent="0.3"/>
  <cols>
    <col min="1" max="1" width="4.88671875" customWidth="1"/>
    <col min="2" max="2" width="18.5546875" style="61" customWidth="1"/>
    <col min="3" max="3" width="18.33203125" customWidth="1"/>
    <col min="4" max="4" width="13.33203125" customWidth="1"/>
    <col min="5" max="5" width="20.6640625" style="64" bestFit="1" customWidth="1"/>
    <col min="6" max="6" width="47.88671875" customWidth="1"/>
    <col min="7" max="7" width="5.6640625" customWidth="1"/>
    <col min="8" max="8" width="15.5546875" style="66" customWidth="1"/>
    <col min="9" max="9" width="6.88671875" style="66" customWidth="1"/>
    <col min="10" max="10" width="14.44140625" style="66" customWidth="1"/>
    <col min="11" max="16384" width="11.44140625" style="66"/>
  </cols>
  <sheetData>
    <row r="1" spans="1:10" ht="11.25" customHeight="1" x14ac:dyDescent="0.3">
      <c r="A1" s="160"/>
      <c r="B1" s="160"/>
      <c r="C1" s="160"/>
      <c r="D1" s="160"/>
      <c r="E1" s="160"/>
      <c r="F1" s="160"/>
      <c r="G1" s="160"/>
    </row>
    <row r="2" spans="1:10" ht="17.25" customHeight="1" thickBot="1" x14ac:dyDescent="0.35">
      <c r="A2" s="85"/>
      <c r="B2" s="86"/>
      <c r="C2" s="87"/>
      <c r="D2" s="87"/>
      <c r="E2" s="87"/>
      <c r="F2" s="87"/>
      <c r="G2" s="87"/>
    </row>
    <row r="3" spans="1:10" s="67" customFormat="1" ht="54" customHeight="1" thickBot="1" x14ac:dyDescent="0.35">
      <c r="B3" s="94"/>
      <c r="C3" s="95"/>
      <c r="D3" s="161" t="s">
        <v>35</v>
      </c>
      <c r="E3" s="161"/>
      <c r="F3" s="162"/>
    </row>
    <row r="4" spans="1:10" s="67" customFormat="1" ht="6.75" customHeight="1" thickTop="1" thickBot="1" x14ac:dyDescent="0.35">
      <c r="B4" s="96"/>
      <c r="C4" s="96"/>
      <c r="D4" s="96"/>
      <c r="E4" s="96"/>
      <c r="F4" s="97"/>
    </row>
    <row r="5" spans="1:10" s="67" customFormat="1" ht="21" customHeight="1" thickTop="1" x14ac:dyDescent="0.3">
      <c r="B5" s="71"/>
      <c r="C5" s="72"/>
      <c r="D5" s="72"/>
      <c r="E5" s="73"/>
      <c r="F5" s="84"/>
    </row>
    <row r="6" spans="1:10" ht="24.9" customHeight="1" x14ac:dyDescent="0.3">
      <c r="A6" s="66"/>
      <c r="B6" s="81"/>
      <c r="C6" s="72"/>
      <c r="D6" s="72"/>
      <c r="E6" s="72"/>
      <c r="F6" s="74"/>
      <c r="G6" s="66"/>
    </row>
    <row r="7" spans="1:10" s="67" customFormat="1" ht="24.9" customHeight="1" x14ac:dyDescent="0.3">
      <c r="B7" s="81"/>
      <c r="C7" s="72"/>
      <c r="D7" s="72"/>
      <c r="E7" s="72"/>
      <c r="F7" s="74"/>
    </row>
    <row r="8" spans="1:10" ht="24.9" customHeight="1" x14ac:dyDescent="0.3">
      <c r="A8" s="66"/>
      <c r="B8" s="81"/>
      <c r="C8" s="72"/>
      <c r="D8" s="72"/>
      <c r="E8" s="72"/>
      <c r="F8" s="75"/>
      <c r="G8" s="66"/>
    </row>
    <row r="9" spans="1:10" s="67" customFormat="1" ht="24.9" customHeight="1" x14ac:dyDescent="0.3">
      <c r="B9" s="81"/>
      <c r="C9" s="72"/>
      <c r="D9" s="72"/>
      <c r="E9" s="72"/>
      <c r="F9" s="74"/>
    </row>
    <row r="10" spans="1:10" ht="24.9" customHeight="1" x14ac:dyDescent="0.3">
      <c r="A10" s="66"/>
      <c r="B10" s="81"/>
      <c r="C10" s="72"/>
      <c r="D10" s="72"/>
      <c r="E10" s="72"/>
      <c r="F10" s="74"/>
      <c r="G10" s="66"/>
      <c r="H10" s="88"/>
      <c r="I10" s="89"/>
      <c r="J10" s="91"/>
    </row>
    <row r="11" spans="1:10" s="67" customFormat="1" ht="24.9" customHeight="1" x14ac:dyDescent="0.3">
      <c r="B11" s="81"/>
      <c r="C11" s="72"/>
      <c r="D11" s="72"/>
      <c r="E11" s="72"/>
      <c r="F11" s="76"/>
      <c r="H11" s="88"/>
      <c r="I11" s="90"/>
      <c r="J11" s="91"/>
    </row>
    <row r="12" spans="1:10" ht="24.9" customHeight="1" x14ac:dyDescent="0.3">
      <c r="A12" s="66"/>
      <c r="B12" s="81"/>
      <c r="C12" s="72"/>
      <c r="D12" s="72"/>
      <c r="E12" s="72"/>
      <c r="F12" s="76"/>
      <c r="G12" s="66"/>
      <c r="J12" s="92"/>
    </row>
    <row r="13" spans="1:10" s="67" customFormat="1" ht="24.9" customHeight="1" x14ac:dyDescent="0.3">
      <c r="B13" s="81"/>
      <c r="C13" s="72"/>
      <c r="D13" s="72"/>
      <c r="E13" s="72"/>
      <c r="F13" s="76"/>
      <c r="J13" s="93"/>
    </row>
    <row r="14" spans="1:10" ht="24.9" customHeight="1" x14ac:dyDescent="0.3">
      <c r="A14" s="66"/>
      <c r="B14" s="81"/>
      <c r="C14" s="72"/>
      <c r="D14" s="72"/>
      <c r="E14" s="72"/>
      <c r="F14" s="76"/>
      <c r="G14" s="66"/>
      <c r="J14" s="92"/>
    </row>
    <row r="15" spans="1:10" s="67" customFormat="1" ht="24.9" customHeight="1" x14ac:dyDescent="0.3">
      <c r="B15" s="82"/>
      <c r="C15" s="72"/>
      <c r="D15" s="72"/>
      <c r="E15" s="83"/>
      <c r="F15" s="76"/>
      <c r="J15" s="93"/>
    </row>
    <row r="16" spans="1:10" s="67" customFormat="1" ht="9" customHeight="1" thickBot="1" x14ac:dyDescent="0.35">
      <c r="B16" s="77"/>
      <c r="C16" s="78"/>
      <c r="D16" s="78"/>
      <c r="E16" s="79"/>
      <c r="F16" s="80"/>
      <c r="J16" s="93"/>
    </row>
    <row r="17" spans="6:10" x14ac:dyDescent="0.3">
      <c r="F17" t="s">
        <v>1069</v>
      </c>
      <c r="J17" s="92"/>
    </row>
    <row r="18" spans="6:10" x14ac:dyDescent="0.3">
      <c r="J18" s="92"/>
    </row>
    <row r="19" spans="6:10" x14ac:dyDescent="0.3">
      <c r="J19" s="92"/>
    </row>
  </sheetData>
  <sheetProtection formatCells="0" formatColumns="0" formatRows="0" insertColumns="0" insertRows="0" deleteColumns="0" deleteRows="0"/>
  <mergeCells count="2">
    <mergeCell ref="A1:G1"/>
    <mergeCell ref="D3:F3"/>
  </mergeCells>
  <phoneticPr fontId="0" type="noConversion"/>
  <pageMargins left="0.08" right="0.48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Ouvrre2">
                <anchor moveWithCells="1" sizeWithCells="1">
                  <from>
                    <xdr:col>4</xdr:col>
                    <xdr:colOff>1318260</xdr:colOff>
                    <xdr:row>6</xdr:row>
                    <xdr:rowOff>228600</xdr:rowOff>
                  </from>
                  <to>
                    <xdr:col>5</xdr:col>
                    <xdr:colOff>2446020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Ouvrre">
                <anchor moveWithCells="1" sizeWithCells="1">
                  <from>
                    <xdr:col>1</xdr:col>
                    <xdr:colOff>541020</xdr:colOff>
                    <xdr:row>6</xdr:row>
                    <xdr:rowOff>259080</xdr:rowOff>
                  </from>
                  <to>
                    <xdr:col>4</xdr:col>
                    <xdr:colOff>297180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3" tint="-0.249977111117893"/>
  </sheetPr>
  <dimension ref="A1:I1499"/>
  <sheetViews>
    <sheetView tabSelected="1" zoomScale="86" zoomScaleNormal="86" workbookViewId="0">
      <pane ySplit="1" topLeftCell="A153" activePane="bottomLeft" state="frozen"/>
      <selection pane="bottomLeft" activeCell="B165" sqref="B165"/>
    </sheetView>
  </sheetViews>
  <sheetFormatPr baseColWidth="10" defaultColWidth="13.88671875" defaultRowHeight="14.4" zeroHeight="1" x14ac:dyDescent="0.3"/>
  <cols>
    <col min="1" max="1" width="30.44140625" style="104" customWidth="1"/>
    <col min="2" max="2" width="29.5546875" style="106" customWidth="1"/>
    <col min="3" max="3" width="15" style="112" customWidth="1"/>
    <col min="4" max="4" width="15.5546875" style="65" customWidth="1"/>
    <col min="5" max="5" width="23.109375" style="63" customWidth="1"/>
    <col min="6" max="6" width="14" style="69" customWidth="1"/>
    <col min="7" max="7" width="23.109375" style="69" customWidth="1"/>
    <col min="8" max="8" width="23.33203125" style="110" customWidth="1"/>
    <col min="9" max="9" width="15.33203125" style="140" customWidth="1"/>
  </cols>
  <sheetData>
    <row r="1" spans="1:9" ht="15.6" x14ac:dyDescent="0.3">
      <c r="A1" s="101" t="s">
        <v>36</v>
      </c>
      <c r="B1" s="98" t="s">
        <v>34</v>
      </c>
      <c r="C1" s="99" t="s">
        <v>310</v>
      </c>
      <c r="D1" s="100" t="s">
        <v>33</v>
      </c>
      <c r="E1" s="99" t="s">
        <v>37</v>
      </c>
      <c r="F1" s="107" t="s">
        <v>274</v>
      </c>
      <c r="G1" s="99" t="s">
        <v>38</v>
      </c>
      <c r="H1" s="108" t="s">
        <v>32</v>
      </c>
      <c r="I1" s="141" t="s">
        <v>1013</v>
      </c>
    </row>
    <row r="2" spans="1:9" x14ac:dyDescent="0.3">
      <c r="A2" s="119" t="s">
        <v>524</v>
      </c>
      <c r="B2" s="120" t="s">
        <v>197</v>
      </c>
      <c r="C2" s="120" t="s">
        <v>311</v>
      </c>
      <c r="D2" s="121">
        <v>145</v>
      </c>
      <c r="E2" s="122" t="s">
        <v>39</v>
      </c>
      <c r="F2" s="122" t="s">
        <v>40</v>
      </c>
      <c r="G2" s="121" t="s">
        <v>41</v>
      </c>
      <c r="H2" s="123" t="s">
        <v>42</v>
      </c>
      <c r="I2" s="142">
        <v>2188</v>
      </c>
    </row>
    <row r="3" spans="1:9" x14ac:dyDescent="0.3">
      <c r="A3" s="124" t="s">
        <v>1015</v>
      </c>
      <c r="B3" s="125" t="s">
        <v>288</v>
      </c>
      <c r="C3" s="125" t="s">
        <v>311</v>
      </c>
      <c r="D3" s="126">
        <v>117</v>
      </c>
      <c r="E3" s="127"/>
      <c r="F3" s="127"/>
      <c r="G3" s="126" t="s">
        <v>43</v>
      </c>
      <c r="H3" s="143" t="s">
        <v>1014</v>
      </c>
      <c r="I3" s="142">
        <v>2485</v>
      </c>
    </row>
    <row r="4" spans="1:9" x14ac:dyDescent="0.3">
      <c r="A4" s="125" t="s">
        <v>1016</v>
      </c>
      <c r="B4" s="125" t="s">
        <v>288</v>
      </c>
      <c r="C4" s="125" t="s">
        <v>311</v>
      </c>
      <c r="D4" s="126">
        <v>184</v>
      </c>
      <c r="E4" s="127"/>
      <c r="F4" s="127"/>
      <c r="G4" s="126" t="s">
        <v>44</v>
      </c>
      <c r="H4" s="143" t="s">
        <v>1017</v>
      </c>
      <c r="I4" s="142">
        <v>2685</v>
      </c>
    </row>
    <row r="5" spans="1:9" x14ac:dyDescent="0.3">
      <c r="A5" s="125" t="s">
        <v>1018</v>
      </c>
      <c r="B5" s="125" t="s">
        <v>45</v>
      </c>
      <c r="C5" s="125" t="s">
        <v>311</v>
      </c>
      <c r="D5" s="126">
        <v>203</v>
      </c>
      <c r="E5" s="126"/>
      <c r="F5" s="126"/>
      <c r="G5" s="126" t="s">
        <v>46</v>
      </c>
      <c r="H5" s="143" t="s">
        <v>1019</v>
      </c>
      <c r="I5" s="142">
        <v>2782</v>
      </c>
    </row>
    <row r="6" spans="1:9" x14ac:dyDescent="0.3">
      <c r="A6" s="125" t="s">
        <v>1875</v>
      </c>
      <c r="B6" s="125" t="s">
        <v>297</v>
      </c>
      <c r="C6" s="125" t="s">
        <v>311</v>
      </c>
      <c r="D6" s="126">
        <v>153</v>
      </c>
      <c r="E6" s="126"/>
      <c r="F6" s="126"/>
      <c r="G6" s="126" t="s">
        <v>48</v>
      </c>
      <c r="H6" s="143" t="s">
        <v>49</v>
      </c>
      <c r="I6" s="142">
        <v>2711</v>
      </c>
    </row>
    <row r="7" spans="1:9" x14ac:dyDescent="0.3">
      <c r="A7" s="125" t="s">
        <v>1020</v>
      </c>
      <c r="B7" s="125" t="s">
        <v>50</v>
      </c>
      <c r="C7" s="125" t="s">
        <v>311</v>
      </c>
      <c r="D7" s="126">
        <v>132</v>
      </c>
      <c r="E7" s="126"/>
      <c r="F7" s="126"/>
      <c r="G7" s="126" t="s">
        <v>51</v>
      </c>
      <c r="H7" s="143" t="s">
        <v>1021</v>
      </c>
      <c r="I7" s="142">
        <v>2401</v>
      </c>
    </row>
    <row r="8" spans="1:9" x14ac:dyDescent="0.3">
      <c r="A8" s="125" t="s">
        <v>449</v>
      </c>
      <c r="B8" s="125" t="s">
        <v>289</v>
      </c>
      <c r="C8" s="125" t="s">
        <v>311</v>
      </c>
      <c r="D8" s="126">
        <v>183</v>
      </c>
      <c r="E8" s="126" t="s">
        <v>53</v>
      </c>
      <c r="F8" s="126" t="s">
        <v>54</v>
      </c>
      <c r="G8" s="126" t="s">
        <v>55</v>
      </c>
      <c r="H8" s="143" t="s">
        <v>1022</v>
      </c>
      <c r="I8" s="142">
        <v>1315</v>
      </c>
    </row>
    <row r="9" spans="1:9" x14ac:dyDescent="0.3">
      <c r="A9" s="125" t="s">
        <v>450</v>
      </c>
      <c r="B9" s="125" t="s">
        <v>301</v>
      </c>
      <c r="C9" s="125" t="s">
        <v>311</v>
      </c>
      <c r="D9" s="126" t="s">
        <v>1025</v>
      </c>
      <c r="E9" s="126" t="s">
        <v>57</v>
      </c>
      <c r="F9" s="126"/>
      <c r="G9" s="126"/>
      <c r="H9" s="143" t="s">
        <v>1023</v>
      </c>
      <c r="I9" s="142">
        <v>2753</v>
      </c>
    </row>
    <row r="10" spans="1:9" x14ac:dyDescent="0.3">
      <c r="A10" s="125" t="s">
        <v>451</v>
      </c>
      <c r="B10" s="128" t="s">
        <v>290</v>
      </c>
      <c r="C10" s="125" t="s">
        <v>311</v>
      </c>
      <c r="D10" s="126" t="s">
        <v>1025</v>
      </c>
      <c r="E10" s="126" t="s">
        <v>58</v>
      </c>
      <c r="F10" s="126"/>
      <c r="G10" s="126"/>
      <c r="H10" s="129" t="s">
        <v>307</v>
      </c>
      <c r="I10" s="142">
        <v>2285</v>
      </c>
    </row>
    <row r="11" spans="1:9" x14ac:dyDescent="0.3">
      <c r="A11" s="125" t="s">
        <v>452</v>
      </c>
      <c r="B11" s="128" t="s">
        <v>218</v>
      </c>
      <c r="C11" s="125" t="s">
        <v>311</v>
      </c>
      <c r="D11" s="126">
        <v>152</v>
      </c>
      <c r="E11" s="126" t="s">
        <v>59</v>
      </c>
      <c r="F11" s="126" t="s">
        <v>60</v>
      </c>
      <c r="G11" s="126" t="s">
        <v>61</v>
      </c>
      <c r="H11" s="143" t="s">
        <v>1024</v>
      </c>
      <c r="I11" s="142">
        <v>1352</v>
      </c>
    </row>
    <row r="12" spans="1:9" x14ac:dyDescent="0.3">
      <c r="A12" s="125" t="s">
        <v>453</v>
      </c>
      <c r="B12" s="128" t="s">
        <v>62</v>
      </c>
      <c r="C12" s="125" t="s">
        <v>311</v>
      </c>
      <c r="D12" s="126">
        <v>143</v>
      </c>
      <c r="E12" s="126" t="s">
        <v>63</v>
      </c>
      <c r="F12" s="126" t="s">
        <v>64</v>
      </c>
      <c r="G12" s="126" t="s">
        <v>65</v>
      </c>
      <c r="H12" s="143" t="s">
        <v>1026</v>
      </c>
      <c r="I12" s="142">
        <v>2322</v>
      </c>
    </row>
    <row r="13" spans="1:9" x14ac:dyDescent="0.3">
      <c r="A13" s="125" t="s">
        <v>1882</v>
      </c>
      <c r="B13" s="125" t="s">
        <v>218</v>
      </c>
      <c r="C13" s="125" t="s">
        <v>311</v>
      </c>
      <c r="D13" s="126">
        <v>160</v>
      </c>
      <c r="E13" s="126" t="s">
        <v>275</v>
      </c>
      <c r="F13" s="126"/>
      <c r="G13" s="126" t="s">
        <v>66</v>
      </c>
      <c r="H13" s="143" t="s">
        <v>1027</v>
      </c>
      <c r="I13" s="142">
        <v>2277</v>
      </c>
    </row>
    <row r="14" spans="1:9" x14ac:dyDescent="0.3">
      <c r="A14" s="125" t="s">
        <v>525</v>
      </c>
      <c r="B14" s="125" t="s">
        <v>67</v>
      </c>
      <c r="C14" s="125" t="s">
        <v>311</v>
      </c>
      <c r="D14" s="126">
        <v>190</v>
      </c>
      <c r="E14" s="126"/>
      <c r="F14" s="126"/>
      <c r="G14" s="126" t="s">
        <v>68</v>
      </c>
      <c r="H14" s="143" t="s">
        <v>1028</v>
      </c>
      <c r="I14" s="142">
        <v>2780</v>
      </c>
    </row>
    <row r="15" spans="1:9" x14ac:dyDescent="0.3">
      <c r="A15" s="125" t="s">
        <v>277</v>
      </c>
      <c r="B15" s="125" t="s">
        <v>291</v>
      </c>
      <c r="C15" s="125" t="s">
        <v>311</v>
      </c>
      <c r="D15" s="126">
        <v>112</v>
      </c>
      <c r="E15" s="126"/>
      <c r="F15" s="126"/>
      <c r="G15" s="126" t="s">
        <v>69</v>
      </c>
      <c r="H15" s="125" t="s">
        <v>295</v>
      </c>
      <c r="I15" s="142">
        <v>1</v>
      </c>
    </row>
    <row r="16" spans="1:9" x14ac:dyDescent="0.3">
      <c r="A16" s="125" t="s">
        <v>1161</v>
      </c>
      <c r="B16" s="125" t="s">
        <v>279</v>
      </c>
      <c r="C16" s="125" t="s">
        <v>311</v>
      </c>
      <c r="D16" s="126">
        <v>174</v>
      </c>
      <c r="E16" s="126" t="s">
        <v>1162</v>
      </c>
      <c r="F16" s="126" t="s">
        <v>1163</v>
      </c>
      <c r="G16" s="126" t="s">
        <v>71</v>
      </c>
      <c r="H16" s="125" t="s">
        <v>295</v>
      </c>
      <c r="I16" s="142">
        <v>2047</v>
      </c>
    </row>
    <row r="17" spans="1:9" x14ac:dyDescent="0.3">
      <c r="A17" s="125" t="s">
        <v>280</v>
      </c>
      <c r="B17" s="125" t="s">
        <v>56</v>
      </c>
      <c r="C17" s="125" t="s">
        <v>311</v>
      </c>
      <c r="D17" s="126">
        <v>177</v>
      </c>
      <c r="E17" s="126"/>
      <c r="F17" s="126"/>
      <c r="G17" s="126" t="s">
        <v>73</v>
      </c>
      <c r="H17" s="125" t="s">
        <v>295</v>
      </c>
      <c r="I17" s="142">
        <v>2</v>
      </c>
    </row>
    <row r="18" spans="1:9" x14ac:dyDescent="0.3">
      <c r="A18" s="125" t="s">
        <v>455</v>
      </c>
      <c r="B18" s="125" t="s">
        <v>303</v>
      </c>
      <c r="C18" s="125" t="s">
        <v>311</v>
      </c>
      <c r="D18" s="126" t="s">
        <v>1025</v>
      </c>
      <c r="E18" s="126" t="s">
        <v>276</v>
      </c>
      <c r="F18" s="126" t="s">
        <v>74</v>
      </c>
      <c r="G18" s="126"/>
      <c r="H18" s="129" t="s">
        <v>308</v>
      </c>
      <c r="I18" s="142">
        <v>2378</v>
      </c>
    </row>
    <row r="19" spans="1:9" x14ac:dyDescent="0.3">
      <c r="A19" s="144" t="s">
        <v>1136</v>
      </c>
      <c r="B19" s="125" t="s">
        <v>294</v>
      </c>
      <c r="C19" s="125" t="s">
        <v>311</v>
      </c>
      <c r="D19" s="126">
        <v>125</v>
      </c>
      <c r="E19" s="126"/>
      <c r="F19" s="126"/>
      <c r="G19" s="126" t="s">
        <v>75</v>
      </c>
      <c r="H19" s="143" t="s">
        <v>1029</v>
      </c>
      <c r="I19" s="142">
        <v>2682</v>
      </c>
    </row>
    <row r="20" spans="1:9" x14ac:dyDescent="0.3">
      <c r="A20" s="125" t="s">
        <v>456</v>
      </c>
      <c r="B20" s="125" t="s">
        <v>288</v>
      </c>
      <c r="C20" s="125" t="s">
        <v>311</v>
      </c>
      <c r="D20" s="126">
        <v>119</v>
      </c>
      <c r="E20" s="126" t="s">
        <v>76</v>
      </c>
      <c r="F20" s="126" t="s">
        <v>77</v>
      </c>
      <c r="G20" s="126" t="s">
        <v>78</v>
      </c>
      <c r="H20" s="143" t="s">
        <v>1030</v>
      </c>
      <c r="I20" s="142">
        <v>2151</v>
      </c>
    </row>
    <row r="21" spans="1:9" x14ac:dyDescent="0.3">
      <c r="A21" s="125" t="s">
        <v>278</v>
      </c>
      <c r="B21" s="125" t="s">
        <v>52</v>
      </c>
      <c r="C21" s="125" t="s">
        <v>311</v>
      </c>
      <c r="D21" s="126">
        <v>140</v>
      </c>
      <c r="E21" s="126"/>
      <c r="F21" s="126"/>
      <c r="G21" s="126" t="s">
        <v>79</v>
      </c>
      <c r="H21" s="125" t="s">
        <v>295</v>
      </c>
      <c r="I21" s="142">
        <v>2651</v>
      </c>
    </row>
    <row r="22" spans="1:9" x14ac:dyDescent="0.3">
      <c r="A22" s="125" t="s">
        <v>457</v>
      </c>
      <c r="B22" s="125" t="s">
        <v>62</v>
      </c>
      <c r="C22" s="125" t="s">
        <v>311</v>
      </c>
      <c r="D22" s="126">
        <v>115</v>
      </c>
      <c r="E22" s="126" t="s">
        <v>80</v>
      </c>
      <c r="F22" s="126" t="s">
        <v>81</v>
      </c>
      <c r="G22" s="126" t="s">
        <v>82</v>
      </c>
      <c r="H22" s="143" t="s">
        <v>1031</v>
      </c>
      <c r="I22" s="142">
        <v>2380</v>
      </c>
    </row>
    <row r="23" spans="1:9" x14ac:dyDescent="0.3">
      <c r="A23" s="125" t="s">
        <v>526</v>
      </c>
      <c r="B23" s="125" t="s">
        <v>298</v>
      </c>
      <c r="C23" s="125" t="s">
        <v>311</v>
      </c>
      <c r="D23" s="126">
        <v>170</v>
      </c>
      <c r="E23" s="126" t="s">
        <v>83</v>
      </c>
      <c r="F23" s="126"/>
      <c r="G23" s="126" t="s">
        <v>84</v>
      </c>
      <c r="H23" s="143" t="s">
        <v>1032</v>
      </c>
      <c r="I23" s="142">
        <v>2384</v>
      </c>
    </row>
    <row r="24" spans="1:9" x14ac:dyDescent="0.3">
      <c r="A24" s="125" t="s">
        <v>458</v>
      </c>
      <c r="B24" s="125" t="s">
        <v>50</v>
      </c>
      <c r="C24" s="125" t="s">
        <v>311</v>
      </c>
      <c r="D24" s="126">
        <v>129</v>
      </c>
      <c r="E24" s="126" t="s">
        <v>85</v>
      </c>
      <c r="F24" s="126" t="s">
        <v>86</v>
      </c>
      <c r="G24" s="126" t="s">
        <v>87</v>
      </c>
      <c r="H24" s="143" t="s">
        <v>1033</v>
      </c>
      <c r="I24" s="142">
        <v>2603</v>
      </c>
    </row>
    <row r="25" spans="1:9" x14ac:dyDescent="0.3">
      <c r="A25" s="125" t="s">
        <v>527</v>
      </c>
      <c r="B25" s="125" t="s">
        <v>45</v>
      </c>
      <c r="C25" s="125" t="s">
        <v>311</v>
      </c>
      <c r="D25" s="126">
        <v>104</v>
      </c>
      <c r="E25" s="126" t="s">
        <v>88</v>
      </c>
      <c r="F25" s="126" t="s">
        <v>89</v>
      </c>
      <c r="G25" s="126"/>
      <c r="H25" s="143" t="s">
        <v>1034</v>
      </c>
      <c r="I25" s="142">
        <v>2087</v>
      </c>
    </row>
    <row r="26" spans="1:9" x14ac:dyDescent="0.3">
      <c r="A26" s="125" t="s">
        <v>459</v>
      </c>
      <c r="B26" s="125" t="s">
        <v>218</v>
      </c>
      <c r="C26" s="125" t="s">
        <v>311</v>
      </c>
      <c r="D26" s="126">
        <v>171</v>
      </c>
      <c r="E26" s="126" t="s">
        <v>90</v>
      </c>
      <c r="F26" s="126" t="s">
        <v>91</v>
      </c>
      <c r="G26" s="126" t="s">
        <v>92</v>
      </c>
      <c r="H26" s="143" t="s">
        <v>1035</v>
      </c>
      <c r="I26" s="142">
        <v>2071</v>
      </c>
    </row>
    <row r="27" spans="1:9" x14ac:dyDescent="0.3">
      <c r="A27" s="125" t="s">
        <v>460</v>
      </c>
      <c r="B27" s="125" t="s">
        <v>305</v>
      </c>
      <c r="C27" s="125" t="s">
        <v>311</v>
      </c>
      <c r="D27" s="126">
        <v>207</v>
      </c>
      <c r="E27" s="126" t="s">
        <v>93</v>
      </c>
      <c r="F27" s="126" t="s">
        <v>94</v>
      </c>
      <c r="G27" s="126"/>
      <c r="H27" s="143" t="s">
        <v>1036</v>
      </c>
      <c r="I27" s="142">
        <v>2710</v>
      </c>
    </row>
    <row r="28" spans="1:9" x14ac:dyDescent="0.3">
      <c r="A28" s="125" t="s">
        <v>461</v>
      </c>
      <c r="B28" s="125" t="s">
        <v>305</v>
      </c>
      <c r="C28" s="125" t="s">
        <v>311</v>
      </c>
      <c r="D28" s="126"/>
      <c r="E28" s="126" t="s">
        <v>95</v>
      </c>
      <c r="F28" s="126" t="s">
        <v>96</v>
      </c>
      <c r="G28" s="126"/>
      <c r="H28" s="143" t="s">
        <v>1037</v>
      </c>
      <c r="I28" s="142">
        <v>2752</v>
      </c>
    </row>
    <row r="29" spans="1:9" x14ac:dyDescent="0.3">
      <c r="A29" s="125" t="s">
        <v>528</v>
      </c>
      <c r="B29" s="125" t="s">
        <v>290</v>
      </c>
      <c r="C29" s="125" t="s">
        <v>311</v>
      </c>
      <c r="D29" s="126">
        <v>179</v>
      </c>
      <c r="E29" s="126"/>
      <c r="F29" s="126"/>
      <c r="G29" s="126" t="s">
        <v>97</v>
      </c>
      <c r="H29" s="143" t="s">
        <v>1038</v>
      </c>
      <c r="I29" s="142">
        <v>2664</v>
      </c>
    </row>
    <row r="30" spans="1:9" x14ac:dyDescent="0.3">
      <c r="A30" s="125" t="s">
        <v>462</v>
      </c>
      <c r="B30" s="125" t="s">
        <v>291</v>
      </c>
      <c r="C30" s="125" t="s">
        <v>311</v>
      </c>
      <c r="D30" s="126">
        <v>133</v>
      </c>
      <c r="E30" s="126" t="s">
        <v>98</v>
      </c>
      <c r="F30" s="126" t="s">
        <v>99</v>
      </c>
      <c r="G30" s="126" t="s">
        <v>100</v>
      </c>
      <c r="H30" s="143" t="s">
        <v>1039</v>
      </c>
      <c r="I30" s="142">
        <v>2044</v>
      </c>
    </row>
    <row r="31" spans="1:9" x14ac:dyDescent="0.3">
      <c r="A31" s="125" t="s">
        <v>463</v>
      </c>
      <c r="B31" s="125" t="s">
        <v>56</v>
      </c>
      <c r="C31" s="125" t="s">
        <v>311</v>
      </c>
      <c r="D31" s="126">
        <v>156</v>
      </c>
      <c r="E31" s="126" t="s">
        <v>101</v>
      </c>
      <c r="F31" s="126" t="s">
        <v>102</v>
      </c>
      <c r="G31" s="126" t="s">
        <v>103</v>
      </c>
      <c r="H31" s="143" t="s">
        <v>1040</v>
      </c>
      <c r="I31" s="142">
        <v>2400</v>
      </c>
    </row>
    <row r="32" spans="1:9" x14ac:dyDescent="0.3">
      <c r="A32" s="125" t="s">
        <v>1135</v>
      </c>
      <c r="B32" s="125" t="s">
        <v>62</v>
      </c>
      <c r="C32" s="125" t="s">
        <v>311</v>
      </c>
      <c r="D32" s="126">
        <v>202</v>
      </c>
      <c r="E32" s="126" t="s">
        <v>104</v>
      </c>
      <c r="F32" s="126" t="s">
        <v>105</v>
      </c>
      <c r="G32" s="126"/>
      <c r="H32" s="143" t="s">
        <v>1041</v>
      </c>
      <c r="I32" s="142">
        <v>2688</v>
      </c>
    </row>
    <row r="33" spans="1:9" x14ac:dyDescent="0.3">
      <c r="A33" s="125" t="s">
        <v>464</v>
      </c>
      <c r="B33" s="125" t="s">
        <v>303</v>
      </c>
      <c r="C33" s="125" t="s">
        <v>311</v>
      </c>
      <c r="D33" s="126">
        <v>182</v>
      </c>
      <c r="E33" s="126" t="s">
        <v>106</v>
      </c>
      <c r="F33" s="126" t="s">
        <v>107</v>
      </c>
      <c r="G33" s="126" t="s">
        <v>108</v>
      </c>
      <c r="H33" s="143" t="s">
        <v>1042</v>
      </c>
      <c r="I33" s="142">
        <v>2353</v>
      </c>
    </row>
    <row r="34" spans="1:9" x14ac:dyDescent="0.3">
      <c r="A34" s="125" t="s">
        <v>529</v>
      </c>
      <c r="B34" s="125" t="s">
        <v>304</v>
      </c>
      <c r="C34" s="125" t="s">
        <v>311</v>
      </c>
      <c r="D34" s="126">
        <v>196</v>
      </c>
      <c r="E34" s="126"/>
      <c r="F34" s="126"/>
      <c r="G34" s="126" t="s">
        <v>109</v>
      </c>
      <c r="H34" s="143" t="s">
        <v>1043</v>
      </c>
      <c r="I34" s="142">
        <v>2659</v>
      </c>
    </row>
    <row r="35" spans="1:9" x14ac:dyDescent="0.3">
      <c r="A35" s="125" t="s">
        <v>465</v>
      </c>
      <c r="B35" s="125" t="s">
        <v>110</v>
      </c>
      <c r="C35" s="125" t="s">
        <v>311</v>
      </c>
      <c r="D35" s="126">
        <v>194</v>
      </c>
      <c r="E35" s="126" t="s">
        <v>111</v>
      </c>
      <c r="F35" s="126" t="s">
        <v>112</v>
      </c>
      <c r="G35" s="126" t="s">
        <v>113</v>
      </c>
      <c r="H35" s="143" t="s">
        <v>1044</v>
      </c>
      <c r="I35" s="142">
        <v>2464</v>
      </c>
    </row>
    <row r="36" spans="1:9" x14ac:dyDescent="0.3">
      <c r="A36" s="125" t="s">
        <v>530</v>
      </c>
      <c r="B36" s="125" t="s">
        <v>1137</v>
      </c>
      <c r="C36" s="125" t="s">
        <v>311</v>
      </c>
      <c r="D36" s="126">
        <v>9</v>
      </c>
      <c r="E36" s="126" t="s">
        <v>114</v>
      </c>
      <c r="F36" s="126"/>
      <c r="G36" s="126" t="s">
        <v>115</v>
      </c>
      <c r="H36" s="143" t="s">
        <v>1045</v>
      </c>
      <c r="I36" s="142">
        <v>2787</v>
      </c>
    </row>
    <row r="37" spans="1:9" x14ac:dyDescent="0.3">
      <c r="A37" s="125" t="s">
        <v>466</v>
      </c>
      <c r="B37" s="125" t="s">
        <v>302</v>
      </c>
      <c r="C37" s="125" t="s">
        <v>311</v>
      </c>
      <c r="D37" s="126">
        <v>146</v>
      </c>
      <c r="E37" s="126" t="s">
        <v>116</v>
      </c>
      <c r="F37" s="126" t="s">
        <v>117</v>
      </c>
      <c r="G37" s="126" t="s">
        <v>118</v>
      </c>
      <c r="H37" s="143" t="s">
        <v>1046</v>
      </c>
      <c r="I37" s="142">
        <v>2739</v>
      </c>
    </row>
    <row r="38" spans="1:9" x14ac:dyDescent="0.3">
      <c r="A38" s="125" t="s">
        <v>467</v>
      </c>
      <c r="B38" s="125" t="s">
        <v>218</v>
      </c>
      <c r="C38" s="125" t="s">
        <v>311</v>
      </c>
      <c r="D38" s="126">
        <v>170</v>
      </c>
      <c r="E38" s="126" t="s">
        <v>119</v>
      </c>
      <c r="F38" s="126"/>
      <c r="G38" s="126" t="s">
        <v>120</v>
      </c>
      <c r="H38" s="143" t="s">
        <v>1047</v>
      </c>
      <c r="I38" s="142">
        <v>2683</v>
      </c>
    </row>
    <row r="39" spans="1:9" x14ac:dyDescent="0.3">
      <c r="A39" s="125" t="s">
        <v>1138</v>
      </c>
      <c r="B39" s="125" t="s">
        <v>50</v>
      </c>
      <c r="C39" s="125" t="s">
        <v>311</v>
      </c>
      <c r="D39" s="126">
        <v>136</v>
      </c>
      <c r="E39" s="126" t="s">
        <v>121</v>
      </c>
      <c r="F39" s="126"/>
      <c r="G39" s="126" t="s">
        <v>122</v>
      </c>
      <c r="H39" s="143" t="s">
        <v>1048</v>
      </c>
      <c r="I39" s="142">
        <v>2305</v>
      </c>
    </row>
    <row r="40" spans="1:9" x14ac:dyDescent="0.3">
      <c r="A40" s="125" t="s">
        <v>468</v>
      </c>
      <c r="B40" s="125" t="s">
        <v>291</v>
      </c>
      <c r="C40" s="125" t="s">
        <v>311</v>
      </c>
      <c r="D40" s="126">
        <v>172</v>
      </c>
      <c r="E40" s="126" t="s">
        <v>123</v>
      </c>
      <c r="F40" s="126" t="s">
        <v>124</v>
      </c>
      <c r="G40" s="126" t="s">
        <v>125</v>
      </c>
      <c r="H40" s="143" t="s">
        <v>1049</v>
      </c>
      <c r="I40" s="142">
        <v>2279</v>
      </c>
    </row>
    <row r="41" spans="1:9" x14ac:dyDescent="0.3">
      <c r="A41" s="125" t="s">
        <v>469</v>
      </c>
      <c r="B41" s="125" t="s">
        <v>281</v>
      </c>
      <c r="C41" s="125" t="s">
        <v>311</v>
      </c>
      <c r="D41" s="126"/>
      <c r="E41" s="126" t="s">
        <v>126</v>
      </c>
      <c r="F41" s="126"/>
      <c r="G41" s="126"/>
      <c r="H41" s="143" t="s">
        <v>1050</v>
      </c>
      <c r="I41" s="142">
        <v>2367</v>
      </c>
    </row>
    <row r="42" spans="1:9" x14ac:dyDescent="0.3">
      <c r="A42" s="125" t="s">
        <v>531</v>
      </c>
      <c r="B42" s="125" t="s">
        <v>67</v>
      </c>
      <c r="C42" s="125" t="s">
        <v>311</v>
      </c>
      <c r="D42" s="126">
        <v>198</v>
      </c>
      <c r="E42" s="126"/>
      <c r="F42" s="126"/>
      <c r="G42" s="126" t="s">
        <v>127</v>
      </c>
      <c r="H42" s="143" t="s">
        <v>1051</v>
      </c>
      <c r="I42" s="142">
        <v>2286</v>
      </c>
    </row>
    <row r="43" spans="1:9" x14ac:dyDescent="0.3">
      <c r="A43" s="144" t="s">
        <v>454</v>
      </c>
      <c r="B43" s="125" t="s">
        <v>218</v>
      </c>
      <c r="C43" s="125" t="s">
        <v>311</v>
      </c>
      <c r="D43" s="126">
        <v>165</v>
      </c>
      <c r="E43" s="126" t="s">
        <v>128</v>
      </c>
      <c r="F43" s="126"/>
      <c r="G43" s="126" t="s">
        <v>129</v>
      </c>
      <c r="H43" s="143" t="s">
        <v>1052</v>
      </c>
      <c r="I43" s="142">
        <v>2549</v>
      </c>
    </row>
    <row r="44" spans="1:9" x14ac:dyDescent="0.3">
      <c r="A44" s="125" t="s">
        <v>470</v>
      </c>
      <c r="B44" s="125" t="s">
        <v>56</v>
      </c>
      <c r="C44" s="125" t="s">
        <v>311</v>
      </c>
      <c r="D44" s="126">
        <v>175</v>
      </c>
      <c r="E44" s="126" t="s">
        <v>130</v>
      </c>
      <c r="F44" s="126" t="s">
        <v>131</v>
      </c>
      <c r="G44" s="126" t="s">
        <v>132</v>
      </c>
      <c r="H44" s="143" t="s">
        <v>1053</v>
      </c>
      <c r="I44" s="142">
        <v>2096</v>
      </c>
    </row>
    <row r="45" spans="1:9" x14ac:dyDescent="0.3">
      <c r="A45" s="125" t="s">
        <v>471</v>
      </c>
      <c r="B45" s="125" t="s">
        <v>298</v>
      </c>
      <c r="C45" s="125" t="s">
        <v>311</v>
      </c>
      <c r="D45" s="126"/>
      <c r="E45" s="126" t="s">
        <v>133</v>
      </c>
      <c r="F45" s="126"/>
      <c r="G45" s="126" t="s">
        <v>134</v>
      </c>
      <c r="H45" s="143" t="s">
        <v>1054</v>
      </c>
      <c r="I45" s="142">
        <v>2089</v>
      </c>
    </row>
    <row r="46" spans="1:9" x14ac:dyDescent="0.3">
      <c r="A46" s="144" t="s">
        <v>519</v>
      </c>
      <c r="B46" s="125" t="s">
        <v>56</v>
      </c>
      <c r="C46" s="125" t="s">
        <v>311</v>
      </c>
      <c r="D46" s="126"/>
      <c r="E46" s="126" t="s">
        <v>135</v>
      </c>
      <c r="F46" s="126"/>
      <c r="G46" s="126"/>
      <c r="H46" s="143" t="s">
        <v>1055</v>
      </c>
      <c r="I46" s="142">
        <v>2743</v>
      </c>
    </row>
    <row r="47" spans="1:9" x14ac:dyDescent="0.3">
      <c r="A47" s="125" t="s">
        <v>472</v>
      </c>
      <c r="B47" s="125" t="s">
        <v>299</v>
      </c>
      <c r="C47" s="125" t="s">
        <v>311</v>
      </c>
      <c r="D47" s="126">
        <v>118</v>
      </c>
      <c r="E47" s="126" t="s">
        <v>136</v>
      </c>
      <c r="F47" s="126" t="s">
        <v>137</v>
      </c>
      <c r="G47" s="126" t="s">
        <v>138</v>
      </c>
      <c r="H47" s="143" t="s">
        <v>1056</v>
      </c>
      <c r="I47" s="142">
        <v>2661</v>
      </c>
    </row>
    <row r="48" spans="1:9" x14ac:dyDescent="0.3">
      <c r="A48" s="125" t="s">
        <v>473</v>
      </c>
      <c r="B48" s="125" t="s">
        <v>294</v>
      </c>
      <c r="C48" s="125" t="s">
        <v>311</v>
      </c>
      <c r="D48" s="126">
        <v>205</v>
      </c>
      <c r="E48" s="126"/>
      <c r="F48" s="126"/>
      <c r="G48" s="126" t="s">
        <v>127</v>
      </c>
      <c r="H48" s="143" t="s">
        <v>1057</v>
      </c>
      <c r="I48" s="142">
        <v>2732</v>
      </c>
    </row>
    <row r="49" spans="1:9" x14ac:dyDescent="0.3">
      <c r="A49" s="125" t="s">
        <v>474</v>
      </c>
      <c r="B49" s="125" t="s">
        <v>303</v>
      </c>
      <c r="C49" s="125" t="s">
        <v>311</v>
      </c>
      <c r="D49" s="126"/>
      <c r="E49" s="126" t="s">
        <v>139</v>
      </c>
      <c r="F49" s="126" t="s">
        <v>140</v>
      </c>
      <c r="G49" s="126" t="s">
        <v>141</v>
      </c>
      <c r="H49" s="143" t="s">
        <v>1058</v>
      </c>
      <c r="I49" s="142">
        <v>2260</v>
      </c>
    </row>
    <row r="50" spans="1:9" x14ac:dyDescent="0.3">
      <c r="A50" s="125" t="s">
        <v>475</v>
      </c>
      <c r="B50" s="125" t="s">
        <v>52</v>
      </c>
      <c r="C50" s="125" t="s">
        <v>311</v>
      </c>
      <c r="D50" s="126">
        <v>131</v>
      </c>
      <c r="E50" s="126" t="s">
        <v>142</v>
      </c>
      <c r="F50" s="126" t="s">
        <v>143</v>
      </c>
      <c r="G50" s="126"/>
      <c r="H50" s="143" t="s">
        <v>1059</v>
      </c>
      <c r="I50" s="142">
        <v>2455</v>
      </c>
    </row>
    <row r="51" spans="1:9" x14ac:dyDescent="0.3">
      <c r="A51" s="125" t="s">
        <v>476</v>
      </c>
      <c r="B51" s="125" t="s">
        <v>45</v>
      </c>
      <c r="C51" s="125" t="s">
        <v>311</v>
      </c>
      <c r="D51" s="126">
        <v>206</v>
      </c>
      <c r="E51" s="159" t="s">
        <v>1855</v>
      </c>
      <c r="F51" s="126"/>
      <c r="G51" s="126"/>
      <c r="H51" s="143" t="s">
        <v>1060</v>
      </c>
      <c r="I51" s="142">
        <v>2737</v>
      </c>
    </row>
    <row r="52" spans="1:9" x14ac:dyDescent="0.3">
      <c r="A52" s="125" t="s">
        <v>477</v>
      </c>
      <c r="B52" s="125" t="s">
        <v>294</v>
      </c>
      <c r="C52" s="125" t="s">
        <v>311</v>
      </c>
      <c r="D52" s="126">
        <v>157</v>
      </c>
      <c r="E52" s="126" t="s">
        <v>144</v>
      </c>
      <c r="F52" s="126" t="s">
        <v>145</v>
      </c>
      <c r="G52" s="126" t="s">
        <v>146</v>
      </c>
      <c r="H52" s="143" t="s">
        <v>1061</v>
      </c>
      <c r="I52" s="142">
        <v>2290</v>
      </c>
    </row>
    <row r="53" spans="1:9" x14ac:dyDescent="0.3">
      <c r="A53" s="125" t="s">
        <v>478</v>
      </c>
      <c r="B53" s="125" t="s">
        <v>147</v>
      </c>
      <c r="C53" s="125" t="s">
        <v>311</v>
      </c>
      <c r="D53" s="126">
        <v>127</v>
      </c>
      <c r="E53" s="126" t="s">
        <v>148</v>
      </c>
      <c r="F53" s="126" t="s">
        <v>149</v>
      </c>
      <c r="G53" s="126" t="s">
        <v>150</v>
      </c>
      <c r="H53" s="143" t="s">
        <v>1062</v>
      </c>
      <c r="I53" s="142">
        <v>2282</v>
      </c>
    </row>
    <row r="54" spans="1:9" x14ac:dyDescent="0.3">
      <c r="A54" s="125" t="s">
        <v>479</v>
      </c>
      <c r="B54" s="125" t="s">
        <v>56</v>
      </c>
      <c r="C54" s="125" t="s">
        <v>311</v>
      </c>
      <c r="D54" s="126">
        <v>116</v>
      </c>
      <c r="E54" s="126"/>
      <c r="F54" s="126"/>
      <c r="G54" s="126" t="s">
        <v>151</v>
      </c>
      <c r="H54" s="143" t="s">
        <v>1063</v>
      </c>
      <c r="I54" s="142">
        <v>2077</v>
      </c>
    </row>
    <row r="55" spans="1:9" x14ac:dyDescent="0.3">
      <c r="A55" s="125" t="s">
        <v>1008</v>
      </c>
      <c r="B55" s="125" t="s">
        <v>218</v>
      </c>
      <c r="C55" s="125" t="s">
        <v>311</v>
      </c>
      <c r="D55" s="126">
        <v>216</v>
      </c>
      <c r="E55" s="126"/>
      <c r="F55" s="126"/>
      <c r="G55" s="126" t="s">
        <v>152</v>
      </c>
      <c r="H55" s="143" t="s">
        <v>1139</v>
      </c>
      <c r="I55" s="142">
        <v>14575</v>
      </c>
    </row>
    <row r="56" spans="1:9" x14ac:dyDescent="0.3">
      <c r="A56" s="125" t="s">
        <v>532</v>
      </c>
      <c r="B56" s="125" t="s">
        <v>218</v>
      </c>
      <c r="C56" s="125" t="s">
        <v>311</v>
      </c>
      <c r="D56" s="126">
        <v>181</v>
      </c>
      <c r="E56" s="126" t="s">
        <v>153</v>
      </c>
      <c r="F56" s="126" t="s">
        <v>154</v>
      </c>
      <c r="G56" s="126" t="s">
        <v>155</v>
      </c>
      <c r="H56" s="143" t="s">
        <v>1064</v>
      </c>
      <c r="I56" s="142">
        <v>2359</v>
      </c>
    </row>
    <row r="57" spans="1:9" x14ac:dyDescent="0.3">
      <c r="A57" s="125" t="s">
        <v>480</v>
      </c>
      <c r="B57" s="125" t="s">
        <v>218</v>
      </c>
      <c r="C57" s="125" t="s">
        <v>311</v>
      </c>
      <c r="D57" s="126">
        <v>169</v>
      </c>
      <c r="E57" s="126" t="s">
        <v>156</v>
      </c>
      <c r="F57" s="126" t="s">
        <v>157</v>
      </c>
      <c r="G57" s="126" t="s">
        <v>158</v>
      </c>
      <c r="H57" s="143" t="s">
        <v>1065</v>
      </c>
      <c r="I57" s="142">
        <v>2220</v>
      </c>
    </row>
    <row r="58" spans="1:9" x14ac:dyDescent="0.3">
      <c r="A58" s="125" t="s">
        <v>481</v>
      </c>
      <c r="B58" s="125" t="s">
        <v>298</v>
      </c>
      <c r="C58" s="125" t="s">
        <v>311</v>
      </c>
      <c r="D58" s="126">
        <v>168</v>
      </c>
      <c r="E58" s="126" t="s">
        <v>159</v>
      </c>
      <c r="F58" s="126" t="s">
        <v>160</v>
      </c>
      <c r="G58" s="126" t="s">
        <v>161</v>
      </c>
      <c r="H58" s="143" t="s">
        <v>1066</v>
      </c>
      <c r="I58" s="142">
        <v>1270</v>
      </c>
    </row>
    <row r="59" spans="1:9" x14ac:dyDescent="0.3">
      <c r="A59" s="125" t="s">
        <v>482</v>
      </c>
      <c r="B59" s="125" t="s">
        <v>300</v>
      </c>
      <c r="C59" s="125" t="s">
        <v>311</v>
      </c>
      <c r="D59" s="126">
        <v>107</v>
      </c>
      <c r="E59" s="126" t="s">
        <v>162</v>
      </c>
      <c r="F59" s="126" t="s">
        <v>163</v>
      </c>
      <c r="G59" s="126" t="s">
        <v>164</v>
      </c>
      <c r="H59" s="143" t="s">
        <v>1067</v>
      </c>
      <c r="I59" s="142">
        <v>2064</v>
      </c>
    </row>
    <row r="60" spans="1:9" x14ac:dyDescent="0.3">
      <c r="A60" s="125" t="s">
        <v>469</v>
      </c>
      <c r="B60" s="125" t="s">
        <v>281</v>
      </c>
      <c r="C60" s="125" t="s">
        <v>311</v>
      </c>
      <c r="D60" s="126">
        <v>124</v>
      </c>
      <c r="E60" s="126"/>
      <c r="F60" s="126"/>
      <c r="G60" s="126" t="s">
        <v>165</v>
      </c>
      <c r="H60" s="143"/>
      <c r="I60" s="142">
        <v>2367</v>
      </c>
    </row>
    <row r="61" spans="1:9" x14ac:dyDescent="0.3">
      <c r="A61" s="125" t="s">
        <v>483</v>
      </c>
      <c r="B61" s="125" t="s">
        <v>298</v>
      </c>
      <c r="C61" s="125" t="s">
        <v>311</v>
      </c>
      <c r="D61" s="126">
        <v>149</v>
      </c>
      <c r="E61" s="126" t="s">
        <v>166</v>
      </c>
      <c r="F61" s="126" t="s">
        <v>167</v>
      </c>
      <c r="G61" s="126" t="s">
        <v>168</v>
      </c>
      <c r="H61" s="143" t="s">
        <v>1068</v>
      </c>
      <c r="I61" s="142">
        <v>2609</v>
      </c>
    </row>
    <row r="62" spans="1:9" x14ac:dyDescent="0.3">
      <c r="A62" s="125" t="s">
        <v>282</v>
      </c>
      <c r="B62" s="125" t="s">
        <v>62</v>
      </c>
      <c r="C62" s="125" t="s">
        <v>311</v>
      </c>
      <c r="D62" s="126">
        <v>173</v>
      </c>
      <c r="E62" s="126"/>
      <c r="F62" s="126"/>
      <c r="G62" s="126" t="s">
        <v>169</v>
      </c>
      <c r="H62" s="125" t="s">
        <v>1069</v>
      </c>
      <c r="I62" s="142">
        <v>2562</v>
      </c>
    </row>
    <row r="63" spans="1:9" x14ac:dyDescent="0.3">
      <c r="A63" s="125" t="s">
        <v>484</v>
      </c>
      <c r="B63" s="125" t="s">
        <v>52</v>
      </c>
      <c r="C63" s="125" t="s">
        <v>311</v>
      </c>
      <c r="D63" s="126">
        <v>178</v>
      </c>
      <c r="E63" s="126"/>
      <c r="F63" s="126"/>
      <c r="G63" s="126" t="s">
        <v>170</v>
      </c>
      <c r="H63" s="143" t="s">
        <v>1070</v>
      </c>
      <c r="I63" s="142">
        <v>2135</v>
      </c>
    </row>
    <row r="64" spans="1:9" x14ac:dyDescent="0.3">
      <c r="A64" s="125" t="s">
        <v>533</v>
      </c>
      <c r="B64" s="125" t="s">
        <v>50</v>
      </c>
      <c r="C64" s="125" t="s">
        <v>311</v>
      </c>
      <c r="D64" s="126">
        <v>137</v>
      </c>
      <c r="E64" s="126"/>
      <c r="F64" s="126"/>
      <c r="G64" s="126" t="s">
        <v>171</v>
      </c>
      <c r="H64" s="143" t="s">
        <v>1071</v>
      </c>
      <c r="I64" s="142">
        <v>2331</v>
      </c>
    </row>
    <row r="65" spans="1:9" x14ac:dyDescent="0.3">
      <c r="A65" s="125" t="s">
        <v>534</v>
      </c>
      <c r="B65" s="125" t="s">
        <v>293</v>
      </c>
      <c r="C65" s="125" t="s">
        <v>311</v>
      </c>
      <c r="D65" s="126">
        <v>209</v>
      </c>
      <c r="E65" s="158" t="s">
        <v>1853</v>
      </c>
      <c r="F65" s="126"/>
      <c r="G65" s="126"/>
      <c r="H65" s="143" t="s">
        <v>1072</v>
      </c>
      <c r="I65" s="142">
        <v>2733</v>
      </c>
    </row>
    <row r="66" spans="1:9" x14ac:dyDescent="0.3">
      <c r="A66" s="125" t="s">
        <v>485</v>
      </c>
      <c r="B66" s="125" t="s">
        <v>70</v>
      </c>
      <c r="C66" s="125" t="s">
        <v>311</v>
      </c>
      <c r="D66" s="126">
        <v>176</v>
      </c>
      <c r="E66" s="126" t="s">
        <v>172</v>
      </c>
      <c r="F66" s="126" t="s">
        <v>173</v>
      </c>
      <c r="G66" s="126" t="s">
        <v>174</v>
      </c>
      <c r="H66" s="143" t="s">
        <v>1073</v>
      </c>
      <c r="I66" s="142">
        <v>2632</v>
      </c>
    </row>
    <row r="67" spans="1:9" x14ac:dyDescent="0.3">
      <c r="A67" s="125" t="s">
        <v>486</v>
      </c>
      <c r="B67" s="125" t="s">
        <v>290</v>
      </c>
      <c r="C67" s="125" t="s">
        <v>311</v>
      </c>
      <c r="D67" s="126">
        <v>108</v>
      </c>
      <c r="E67" s="126" t="s">
        <v>178</v>
      </c>
      <c r="F67" s="126" t="s">
        <v>179</v>
      </c>
      <c r="G67" s="126" t="s">
        <v>180</v>
      </c>
      <c r="H67" s="143" t="s">
        <v>1074</v>
      </c>
      <c r="I67" s="142">
        <v>2537</v>
      </c>
    </row>
    <row r="68" spans="1:9" x14ac:dyDescent="0.3">
      <c r="A68" s="125" t="s">
        <v>1140</v>
      </c>
      <c r="B68" s="125" t="s">
        <v>283</v>
      </c>
      <c r="C68" s="125" t="s">
        <v>311</v>
      </c>
      <c r="D68" s="126">
        <v>197</v>
      </c>
      <c r="E68" s="126" t="s">
        <v>181</v>
      </c>
      <c r="F68" s="126" t="s">
        <v>182</v>
      </c>
      <c r="G68" s="126" t="s">
        <v>183</v>
      </c>
      <c r="H68" s="143" t="s">
        <v>1075</v>
      </c>
      <c r="I68" s="142">
        <v>2708</v>
      </c>
    </row>
    <row r="69" spans="1:9" x14ac:dyDescent="0.3">
      <c r="A69" s="125" t="s">
        <v>1141</v>
      </c>
      <c r="B69" s="125" t="s">
        <v>302</v>
      </c>
      <c r="C69" s="125" t="s">
        <v>311</v>
      </c>
      <c r="D69" s="126">
        <v>167</v>
      </c>
      <c r="E69" s="126" t="s">
        <v>184</v>
      </c>
      <c r="F69" s="126"/>
      <c r="G69" s="126" t="s">
        <v>185</v>
      </c>
      <c r="H69" s="143" t="s">
        <v>1076</v>
      </c>
      <c r="I69" s="142">
        <v>2770</v>
      </c>
    </row>
    <row r="70" spans="1:9" x14ac:dyDescent="0.3">
      <c r="A70" s="125" t="s">
        <v>535</v>
      </c>
      <c r="B70" s="125" t="s">
        <v>50</v>
      </c>
      <c r="C70" s="125" t="s">
        <v>311</v>
      </c>
      <c r="D70" s="126">
        <v>130</v>
      </c>
      <c r="E70" s="126" t="s">
        <v>186</v>
      </c>
      <c r="F70" s="126" t="s">
        <v>187</v>
      </c>
      <c r="G70" s="126" t="s">
        <v>188</v>
      </c>
      <c r="H70" s="143" t="s">
        <v>1077</v>
      </c>
      <c r="I70" s="142">
        <v>2110</v>
      </c>
    </row>
    <row r="71" spans="1:9" x14ac:dyDescent="0.3">
      <c r="A71" s="125" t="s">
        <v>487</v>
      </c>
      <c r="B71" s="125" t="s">
        <v>303</v>
      </c>
      <c r="C71" s="125" t="s">
        <v>311</v>
      </c>
      <c r="D71" s="126"/>
      <c r="E71" s="126" t="s">
        <v>189</v>
      </c>
      <c r="F71" s="126" t="s">
        <v>190</v>
      </c>
      <c r="G71" s="126"/>
      <c r="H71" s="143" t="s">
        <v>1078</v>
      </c>
      <c r="I71" s="142">
        <v>2513</v>
      </c>
    </row>
    <row r="72" spans="1:9" x14ac:dyDescent="0.3">
      <c r="A72" s="125" t="s">
        <v>488</v>
      </c>
      <c r="B72" s="125" t="s">
        <v>67</v>
      </c>
      <c r="C72" s="125" t="s">
        <v>311</v>
      </c>
      <c r="D72" s="126">
        <v>191</v>
      </c>
      <c r="E72" s="126" t="s">
        <v>191</v>
      </c>
      <c r="F72" s="126" t="s">
        <v>192</v>
      </c>
      <c r="G72" s="126" t="s">
        <v>193</v>
      </c>
      <c r="H72" s="143" t="s">
        <v>1079</v>
      </c>
      <c r="I72" s="142">
        <v>2227</v>
      </c>
    </row>
    <row r="73" spans="1:9" x14ac:dyDescent="0.3">
      <c r="A73" s="125" t="s">
        <v>284</v>
      </c>
      <c r="B73" s="125" t="s">
        <v>50</v>
      </c>
      <c r="C73" s="125" t="s">
        <v>311</v>
      </c>
      <c r="D73" s="126">
        <v>147</v>
      </c>
      <c r="E73" s="126"/>
      <c r="F73" s="126"/>
      <c r="G73" s="126" t="s">
        <v>194</v>
      </c>
      <c r="H73" s="125" t="s">
        <v>295</v>
      </c>
      <c r="I73" s="142">
        <v>2211</v>
      </c>
    </row>
    <row r="74" spans="1:9" x14ac:dyDescent="0.3">
      <c r="A74" s="125" t="s">
        <v>1150</v>
      </c>
      <c r="B74" s="125" t="s">
        <v>1149</v>
      </c>
      <c r="C74" s="125" t="s">
        <v>311</v>
      </c>
      <c r="D74" s="126">
        <v>163</v>
      </c>
      <c r="E74" s="126"/>
      <c r="F74" s="126"/>
      <c r="G74" s="126" t="s">
        <v>196</v>
      </c>
      <c r="H74" s="125" t="s">
        <v>295</v>
      </c>
      <c r="I74" s="142">
        <v>2740</v>
      </c>
    </row>
    <row r="75" spans="1:9" x14ac:dyDescent="0.3">
      <c r="A75" s="125" t="s">
        <v>489</v>
      </c>
      <c r="B75" s="125" t="s">
        <v>197</v>
      </c>
      <c r="C75" s="125" t="s">
        <v>311</v>
      </c>
      <c r="D75" s="126">
        <v>148</v>
      </c>
      <c r="E75" s="126" t="s">
        <v>198</v>
      </c>
      <c r="F75" s="126" t="s">
        <v>199</v>
      </c>
      <c r="G75" s="126" t="s">
        <v>200</v>
      </c>
      <c r="H75" s="143" t="s">
        <v>1080</v>
      </c>
      <c r="I75" s="142">
        <v>2231</v>
      </c>
    </row>
    <row r="76" spans="1:9" x14ac:dyDescent="0.3">
      <c r="A76" s="125" t="s">
        <v>490</v>
      </c>
      <c r="B76" s="125" t="s">
        <v>298</v>
      </c>
      <c r="C76" s="125" t="s">
        <v>311</v>
      </c>
      <c r="D76" s="126"/>
      <c r="E76" s="126" t="s">
        <v>201</v>
      </c>
      <c r="F76" s="126"/>
      <c r="G76" s="126"/>
      <c r="H76" s="143" t="s">
        <v>1081</v>
      </c>
      <c r="I76" s="142">
        <v>2695</v>
      </c>
    </row>
    <row r="77" spans="1:9" x14ac:dyDescent="0.3">
      <c r="A77" s="125" t="s">
        <v>536</v>
      </c>
      <c r="B77" s="125" t="s">
        <v>50</v>
      </c>
      <c r="C77" s="125" t="s">
        <v>311</v>
      </c>
      <c r="D77" s="126">
        <v>141</v>
      </c>
      <c r="E77" s="126"/>
      <c r="F77" s="126"/>
      <c r="G77" s="126" t="s">
        <v>202</v>
      </c>
      <c r="H77" s="143" t="s">
        <v>1082</v>
      </c>
      <c r="I77" s="142">
        <v>2781</v>
      </c>
    </row>
    <row r="78" spans="1:9" x14ac:dyDescent="0.3">
      <c r="A78" s="125" t="s">
        <v>491</v>
      </c>
      <c r="B78" s="125" t="s">
        <v>195</v>
      </c>
      <c r="C78" s="125" t="s">
        <v>311</v>
      </c>
      <c r="D78" s="126">
        <v>162</v>
      </c>
      <c r="E78" s="126" t="s">
        <v>203</v>
      </c>
      <c r="F78" s="126" t="s">
        <v>204</v>
      </c>
      <c r="G78" s="126" t="s">
        <v>205</v>
      </c>
      <c r="H78" s="143" t="s">
        <v>1083</v>
      </c>
      <c r="I78" s="142">
        <v>2470</v>
      </c>
    </row>
    <row r="79" spans="1:9" x14ac:dyDescent="0.3">
      <c r="A79" s="125" t="s">
        <v>492</v>
      </c>
      <c r="B79" s="125" t="s">
        <v>110</v>
      </c>
      <c r="C79" s="125" t="s">
        <v>311</v>
      </c>
      <c r="D79" s="126">
        <v>193</v>
      </c>
      <c r="E79" s="126" t="s">
        <v>206</v>
      </c>
      <c r="F79" s="126" t="s">
        <v>207</v>
      </c>
      <c r="G79" s="126" t="s">
        <v>208</v>
      </c>
      <c r="H79" s="143" t="s">
        <v>1084</v>
      </c>
      <c r="I79" s="142">
        <v>2201</v>
      </c>
    </row>
    <row r="80" spans="1:9" x14ac:dyDescent="0.3">
      <c r="A80" s="125" t="s">
        <v>493</v>
      </c>
      <c r="B80" s="125" t="s">
        <v>56</v>
      </c>
      <c r="C80" s="125" t="s">
        <v>311</v>
      </c>
      <c r="D80" s="126">
        <v>210</v>
      </c>
      <c r="E80" s="126" t="s">
        <v>210</v>
      </c>
      <c r="F80" s="126"/>
      <c r="G80" s="126"/>
      <c r="H80" s="143" t="s">
        <v>1085</v>
      </c>
      <c r="I80" s="142">
        <v>2744</v>
      </c>
    </row>
    <row r="81" spans="1:9" x14ac:dyDescent="0.3">
      <c r="A81" s="125" t="s">
        <v>494</v>
      </c>
      <c r="B81" s="125" t="s">
        <v>209</v>
      </c>
      <c r="C81" s="125" t="s">
        <v>311</v>
      </c>
      <c r="D81" s="126">
        <v>126</v>
      </c>
      <c r="E81" s="126" t="s">
        <v>211</v>
      </c>
      <c r="F81" s="126" t="s">
        <v>212</v>
      </c>
      <c r="G81" s="126" t="s">
        <v>213</v>
      </c>
      <c r="H81" s="143" t="s">
        <v>1086</v>
      </c>
      <c r="I81" s="142">
        <v>2259</v>
      </c>
    </row>
    <row r="82" spans="1:9" x14ac:dyDescent="0.3">
      <c r="A82" s="125" t="s">
        <v>1164</v>
      </c>
      <c r="B82" s="125" t="s">
        <v>286</v>
      </c>
      <c r="C82" s="125" t="s">
        <v>311</v>
      </c>
      <c r="D82" s="126">
        <v>120</v>
      </c>
      <c r="E82" s="126"/>
      <c r="F82" s="126"/>
      <c r="G82" s="126" t="s">
        <v>214</v>
      </c>
      <c r="H82" s="125" t="s">
        <v>295</v>
      </c>
      <c r="I82" s="142">
        <v>2233</v>
      </c>
    </row>
    <row r="83" spans="1:9" x14ac:dyDescent="0.3">
      <c r="A83" s="125" t="s">
        <v>1151</v>
      </c>
      <c r="B83" s="125" t="s">
        <v>495</v>
      </c>
      <c r="C83" s="125" t="s">
        <v>311</v>
      </c>
      <c r="D83" s="126">
        <v>120</v>
      </c>
      <c r="E83" s="126" t="s">
        <v>1152</v>
      </c>
      <c r="F83" s="126"/>
      <c r="G83" s="126" t="s">
        <v>215</v>
      </c>
      <c r="H83" s="125" t="s">
        <v>295</v>
      </c>
      <c r="I83" s="142">
        <v>2627</v>
      </c>
    </row>
    <row r="84" spans="1:9" x14ac:dyDescent="0.3">
      <c r="A84" s="125" t="s">
        <v>1858</v>
      </c>
      <c r="B84" s="125" t="s">
        <v>197</v>
      </c>
      <c r="C84" s="125" t="s">
        <v>311</v>
      </c>
      <c r="D84" s="126">
        <v>138</v>
      </c>
      <c r="E84" s="126" t="s">
        <v>216</v>
      </c>
      <c r="F84" s="126"/>
      <c r="G84" s="126"/>
      <c r="H84" s="143" t="s">
        <v>1087</v>
      </c>
      <c r="I84" s="142">
        <v>2432</v>
      </c>
    </row>
    <row r="85" spans="1:9" x14ac:dyDescent="0.3">
      <c r="A85" s="125" t="s">
        <v>537</v>
      </c>
      <c r="B85" s="125" t="s">
        <v>62</v>
      </c>
      <c r="C85" s="125" t="s">
        <v>311</v>
      </c>
      <c r="D85" s="126">
        <v>142</v>
      </c>
      <c r="E85" s="126"/>
      <c r="F85" s="126"/>
      <c r="G85" s="126" t="s">
        <v>217</v>
      </c>
      <c r="H85" s="143" t="s">
        <v>1088</v>
      </c>
      <c r="I85" s="142">
        <v>2777</v>
      </c>
    </row>
    <row r="86" spans="1:9" x14ac:dyDescent="0.3">
      <c r="A86" s="125" t="s">
        <v>1881</v>
      </c>
      <c r="B86" s="125" t="s">
        <v>218</v>
      </c>
      <c r="C86" s="125" t="s">
        <v>311</v>
      </c>
      <c r="D86" s="126">
        <v>114</v>
      </c>
      <c r="E86" s="126"/>
      <c r="F86" s="126"/>
      <c r="G86" s="126" t="s">
        <v>219</v>
      </c>
      <c r="H86" s="143" t="s">
        <v>1089</v>
      </c>
      <c r="I86" s="142">
        <v>2758</v>
      </c>
    </row>
    <row r="87" spans="1:9" x14ac:dyDescent="0.3">
      <c r="A87" s="125" t="s">
        <v>1142</v>
      </c>
      <c r="B87" s="125" t="s">
        <v>45</v>
      </c>
      <c r="C87" s="125" t="s">
        <v>311</v>
      </c>
      <c r="D87" s="126">
        <v>208</v>
      </c>
      <c r="E87" s="126" t="s">
        <v>220</v>
      </c>
      <c r="F87" s="126" t="s">
        <v>221</v>
      </c>
      <c r="G87" s="126" t="s">
        <v>188</v>
      </c>
      <c r="H87" s="143" t="s">
        <v>1090</v>
      </c>
      <c r="I87" s="142">
        <v>2764</v>
      </c>
    </row>
    <row r="88" spans="1:9" x14ac:dyDescent="0.3">
      <c r="A88" s="125" t="s">
        <v>1880</v>
      </c>
      <c r="B88" s="125" t="s">
        <v>298</v>
      </c>
      <c r="C88" s="125" t="s">
        <v>311</v>
      </c>
      <c r="D88" s="126">
        <v>151</v>
      </c>
      <c r="E88" s="126"/>
      <c r="F88" s="126"/>
      <c r="G88" s="126" t="s">
        <v>222</v>
      </c>
      <c r="H88" s="143" t="s">
        <v>1091</v>
      </c>
      <c r="I88" s="142">
        <v>2656</v>
      </c>
    </row>
    <row r="89" spans="1:9" x14ac:dyDescent="0.3">
      <c r="A89" s="125" t="s">
        <v>538</v>
      </c>
      <c r="B89" s="125" t="s">
        <v>47</v>
      </c>
      <c r="C89" s="125" t="s">
        <v>311</v>
      </c>
      <c r="D89" s="126"/>
      <c r="E89" s="126" t="s">
        <v>223</v>
      </c>
      <c r="F89" s="126"/>
      <c r="G89" s="126"/>
      <c r="H89" s="143" t="s">
        <v>1092</v>
      </c>
      <c r="I89" s="142">
        <v>2579</v>
      </c>
    </row>
    <row r="90" spans="1:9" x14ac:dyDescent="0.3">
      <c r="A90" s="125" t="s">
        <v>539</v>
      </c>
      <c r="B90" s="125" t="s">
        <v>209</v>
      </c>
      <c r="C90" s="125" t="s">
        <v>311</v>
      </c>
      <c r="D90" s="126">
        <v>186</v>
      </c>
      <c r="E90" s="126"/>
      <c r="F90" s="126"/>
      <c r="G90" s="126" t="s">
        <v>224</v>
      </c>
      <c r="H90" s="143" t="s">
        <v>1093</v>
      </c>
      <c r="I90" s="142">
        <v>2332</v>
      </c>
    </row>
    <row r="91" spans="1:9" x14ac:dyDescent="0.3">
      <c r="A91" s="125" t="s">
        <v>1873</v>
      </c>
      <c r="B91" s="125" t="s">
        <v>218</v>
      </c>
      <c r="C91" s="125" t="s">
        <v>311</v>
      </c>
      <c r="D91" s="126">
        <v>161</v>
      </c>
      <c r="E91" s="126"/>
      <c r="F91" s="126"/>
      <c r="G91" s="126" t="s">
        <v>141</v>
      </c>
      <c r="H91" s="143" t="s">
        <v>225</v>
      </c>
      <c r="I91" s="142">
        <v>2786</v>
      </c>
    </row>
    <row r="92" spans="1:9" x14ac:dyDescent="0.3">
      <c r="A92" s="125" t="s">
        <v>496</v>
      </c>
      <c r="B92" s="125" t="s">
        <v>300</v>
      </c>
      <c r="C92" s="125" t="s">
        <v>311</v>
      </c>
      <c r="D92" s="126">
        <v>168</v>
      </c>
      <c r="E92" s="126" t="s">
        <v>226</v>
      </c>
      <c r="F92" s="126"/>
      <c r="G92" s="126" t="s">
        <v>161</v>
      </c>
      <c r="H92" s="143" t="s">
        <v>1094</v>
      </c>
      <c r="I92" s="142">
        <v>2092</v>
      </c>
    </row>
    <row r="93" spans="1:9" x14ac:dyDescent="0.3">
      <c r="A93" s="125" t="s">
        <v>497</v>
      </c>
      <c r="B93" s="125" t="s">
        <v>209</v>
      </c>
      <c r="C93" s="125" t="s">
        <v>311</v>
      </c>
      <c r="D93" s="126">
        <v>155</v>
      </c>
      <c r="E93" s="126" t="s">
        <v>227</v>
      </c>
      <c r="F93" s="126" t="s">
        <v>228</v>
      </c>
      <c r="G93" s="126" t="s">
        <v>229</v>
      </c>
      <c r="H93" s="143" t="s">
        <v>1095</v>
      </c>
      <c r="I93" s="142">
        <v>2341</v>
      </c>
    </row>
    <row r="94" spans="1:9" x14ac:dyDescent="0.3">
      <c r="A94" s="125" t="s">
        <v>498</v>
      </c>
      <c r="B94" s="125" t="s">
        <v>296</v>
      </c>
      <c r="C94" s="125" t="s">
        <v>311</v>
      </c>
      <c r="D94" s="126">
        <v>102</v>
      </c>
      <c r="E94" s="157" t="s">
        <v>1852</v>
      </c>
      <c r="F94" s="126"/>
      <c r="G94" s="126" t="s">
        <v>230</v>
      </c>
      <c r="H94" s="143" t="s">
        <v>1096</v>
      </c>
      <c r="I94" s="142">
        <v>2395</v>
      </c>
    </row>
    <row r="95" spans="1:9" x14ac:dyDescent="0.3">
      <c r="A95" s="125" t="s">
        <v>499</v>
      </c>
      <c r="B95" s="125" t="s">
        <v>195</v>
      </c>
      <c r="C95" s="125" t="s">
        <v>311</v>
      </c>
      <c r="D95" s="126">
        <v>144</v>
      </c>
      <c r="E95" s="126" t="s">
        <v>231</v>
      </c>
      <c r="F95" s="126" t="s">
        <v>232</v>
      </c>
      <c r="G95" s="126" t="s">
        <v>233</v>
      </c>
      <c r="H95" s="143" t="s">
        <v>1097</v>
      </c>
      <c r="I95" s="142">
        <v>2370</v>
      </c>
    </row>
    <row r="96" spans="1:9" x14ac:dyDescent="0.3">
      <c r="A96" s="125" t="s">
        <v>540</v>
      </c>
      <c r="B96" s="125" t="s">
        <v>50</v>
      </c>
      <c r="C96" s="125" t="s">
        <v>311</v>
      </c>
      <c r="D96" s="126">
        <v>135</v>
      </c>
      <c r="E96" s="126"/>
      <c r="F96" s="126"/>
      <c r="G96" s="126" t="s">
        <v>234</v>
      </c>
      <c r="H96" s="143" t="s">
        <v>1098</v>
      </c>
      <c r="I96" s="142">
        <v>2475</v>
      </c>
    </row>
    <row r="97" spans="1:9" x14ac:dyDescent="0.3">
      <c r="A97" s="125" t="s">
        <v>1143</v>
      </c>
      <c r="B97" s="125" t="s">
        <v>50</v>
      </c>
      <c r="C97" s="125" t="s">
        <v>311</v>
      </c>
      <c r="D97" s="126">
        <v>134</v>
      </c>
      <c r="E97" s="126" t="s">
        <v>235</v>
      </c>
      <c r="F97" s="126" t="s">
        <v>236</v>
      </c>
      <c r="G97" s="126" t="s">
        <v>237</v>
      </c>
      <c r="H97" s="143" t="s">
        <v>1099</v>
      </c>
      <c r="I97" s="142">
        <v>2404</v>
      </c>
    </row>
    <row r="98" spans="1:9" x14ac:dyDescent="0.3">
      <c r="A98" s="125" t="s">
        <v>541</v>
      </c>
      <c r="B98" s="125" t="s">
        <v>291</v>
      </c>
      <c r="C98" s="125" t="s">
        <v>311</v>
      </c>
      <c r="D98" s="126">
        <v>109</v>
      </c>
      <c r="E98" s="126"/>
      <c r="F98" s="126"/>
      <c r="G98" s="126" t="s">
        <v>129</v>
      </c>
      <c r="H98" s="143" t="s">
        <v>1100</v>
      </c>
      <c r="I98" s="142">
        <v>2742</v>
      </c>
    </row>
    <row r="99" spans="1:9" x14ac:dyDescent="0.3">
      <c r="A99" s="125" t="s">
        <v>500</v>
      </c>
      <c r="B99" s="125" t="s">
        <v>300</v>
      </c>
      <c r="C99" s="125" t="s">
        <v>311</v>
      </c>
      <c r="D99" s="126">
        <v>164</v>
      </c>
      <c r="E99" s="126" t="s">
        <v>238</v>
      </c>
      <c r="F99" s="126" t="s">
        <v>239</v>
      </c>
      <c r="G99" s="126"/>
      <c r="H99" s="143" t="s">
        <v>1101</v>
      </c>
      <c r="I99" s="142">
        <v>2086</v>
      </c>
    </row>
    <row r="100" spans="1:9" x14ac:dyDescent="0.3">
      <c r="A100" s="125" t="s">
        <v>287</v>
      </c>
      <c r="B100" s="125" t="s">
        <v>296</v>
      </c>
      <c r="C100" s="125" t="s">
        <v>311</v>
      </c>
      <c r="D100" s="126">
        <v>105</v>
      </c>
      <c r="E100" s="126"/>
      <c r="F100" s="126"/>
      <c r="G100" s="126" t="s">
        <v>240</v>
      </c>
      <c r="H100" s="125" t="s">
        <v>295</v>
      </c>
      <c r="I100" s="142">
        <v>3</v>
      </c>
    </row>
    <row r="101" spans="1:9" x14ac:dyDescent="0.3">
      <c r="A101" s="125" t="s">
        <v>501</v>
      </c>
      <c r="B101" s="125" t="s">
        <v>50</v>
      </c>
      <c r="C101" s="125" t="s">
        <v>311</v>
      </c>
      <c r="D101" s="126"/>
      <c r="E101" s="126" t="s">
        <v>241</v>
      </c>
      <c r="F101" s="126" t="s">
        <v>242</v>
      </c>
      <c r="G101" s="126"/>
      <c r="H101" s="143" t="s">
        <v>1102</v>
      </c>
      <c r="I101" s="142">
        <v>2690</v>
      </c>
    </row>
    <row r="102" spans="1:9" x14ac:dyDescent="0.3">
      <c r="A102" s="125" t="s">
        <v>542</v>
      </c>
      <c r="B102" s="125" t="s">
        <v>305</v>
      </c>
      <c r="C102" s="125" t="s">
        <v>311</v>
      </c>
      <c r="D102" s="126">
        <v>159</v>
      </c>
      <c r="E102" s="126" t="s">
        <v>243</v>
      </c>
      <c r="F102" s="126"/>
      <c r="G102" s="126" t="s">
        <v>244</v>
      </c>
      <c r="H102" s="143" t="s">
        <v>1103</v>
      </c>
      <c r="I102" s="142">
        <v>2771</v>
      </c>
    </row>
    <row r="103" spans="1:9" x14ac:dyDescent="0.3">
      <c r="A103" s="125" t="s">
        <v>1874</v>
      </c>
      <c r="B103" s="125" t="s">
        <v>306</v>
      </c>
      <c r="C103" s="125" t="s">
        <v>311</v>
      </c>
      <c r="D103" s="126">
        <v>199</v>
      </c>
      <c r="E103" s="126" t="s">
        <v>245</v>
      </c>
      <c r="F103" s="126" t="s">
        <v>246</v>
      </c>
      <c r="G103" s="126"/>
      <c r="H103" s="143" t="s">
        <v>1104</v>
      </c>
      <c r="I103" s="142">
        <v>2766</v>
      </c>
    </row>
    <row r="104" spans="1:9" x14ac:dyDescent="0.3">
      <c r="A104" s="125" t="s">
        <v>543</v>
      </c>
      <c r="B104" s="125" t="s">
        <v>62</v>
      </c>
      <c r="C104" s="125" t="s">
        <v>311</v>
      </c>
      <c r="D104" s="126">
        <v>195</v>
      </c>
      <c r="E104" s="126"/>
      <c r="F104" s="126"/>
      <c r="G104" s="126" t="s">
        <v>48</v>
      </c>
      <c r="H104" s="143" t="s">
        <v>1105</v>
      </c>
      <c r="I104" s="142">
        <v>2375</v>
      </c>
    </row>
    <row r="105" spans="1:9" x14ac:dyDescent="0.3">
      <c r="A105" s="125" t="s">
        <v>1145</v>
      </c>
      <c r="B105" s="125" t="s">
        <v>197</v>
      </c>
      <c r="C105" s="125" t="s">
        <v>311</v>
      </c>
      <c r="D105" s="126">
        <v>189</v>
      </c>
      <c r="E105" s="126"/>
      <c r="F105" s="126"/>
      <c r="G105" s="126" t="s">
        <v>247</v>
      </c>
      <c r="H105" s="143" t="s">
        <v>1106</v>
      </c>
      <c r="I105" s="142">
        <v>1544</v>
      </c>
    </row>
    <row r="106" spans="1:9" x14ac:dyDescent="0.3">
      <c r="A106" s="125" t="s">
        <v>502</v>
      </c>
      <c r="B106" s="125" t="s">
        <v>292</v>
      </c>
      <c r="C106" s="125" t="s">
        <v>311</v>
      </c>
      <c r="D106" s="126">
        <v>180</v>
      </c>
      <c r="E106" s="126" t="s">
        <v>248</v>
      </c>
      <c r="F106" s="126" t="s">
        <v>249</v>
      </c>
      <c r="G106" s="126" t="s">
        <v>250</v>
      </c>
      <c r="H106" s="143" t="s">
        <v>1107</v>
      </c>
      <c r="I106" s="142">
        <v>2287</v>
      </c>
    </row>
    <row r="107" spans="1:9" x14ac:dyDescent="0.3">
      <c r="A107" s="125" t="s">
        <v>1144</v>
      </c>
      <c r="B107" s="125" t="s">
        <v>67</v>
      </c>
      <c r="C107" s="125" t="s">
        <v>311</v>
      </c>
      <c r="D107" s="126">
        <v>154</v>
      </c>
      <c r="E107" s="126" t="s">
        <v>251</v>
      </c>
      <c r="F107" s="126" t="s">
        <v>252</v>
      </c>
      <c r="G107" s="126" t="s">
        <v>253</v>
      </c>
      <c r="H107" s="143" t="s">
        <v>1108</v>
      </c>
      <c r="I107" s="142">
        <v>2262</v>
      </c>
    </row>
    <row r="108" spans="1:9" x14ac:dyDescent="0.3">
      <c r="A108" s="125" t="s">
        <v>503</v>
      </c>
      <c r="B108" s="125" t="s">
        <v>62</v>
      </c>
      <c r="C108" s="125" t="s">
        <v>311</v>
      </c>
      <c r="D108" s="126">
        <v>111</v>
      </c>
      <c r="E108" s="126" t="s">
        <v>254</v>
      </c>
      <c r="F108" s="126" t="s">
        <v>255</v>
      </c>
      <c r="G108" s="126" t="s">
        <v>256</v>
      </c>
      <c r="H108" s="143" t="s">
        <v>1109</v>
      </c>
      <c r="I108" s="142">
        <v>2383</v>
      </c>
    </row>
    <row r="109" spans="1:9" x14ac:dyDescent="0.3">
      <c r="A109" s="125" t="s">
        <v>504</v>
      </c>
      <c r="B109" s="125" t="s">
        <v>47</v>
      </c>
      <c r="C109" s="125" t="s">
        <v>311</v>
      </c>
      <c r="D109" s="126">
        <v>121</v>
      </c>
      <c r="E109" s="126" t="s">
        <v>257</v>
      </c>
      <c r="F109" s="126"/>
      <c r="G109" s="126" t="s">
        <v>258</v>
      </c>
      <c r="H109" s="143" t="s">
        <v>1110</v>
      </c>
      <c r="I109" s="142">
        <v>2741</v>
      </c>
    </row>
    <row r="110" spans="1:9" x14ac:dyDescent="0.3">
      <c r="A110" s="125" t="s">
        <v>505</v>
      </c>
      <c r="B110" s="125" t="s">
        <v>47</v>
      </c>
      <c r="C110" s="125" t="s">
        <v>311</v>
      </c>
      <c r="D110" s="126">
        <v>158</v>
      </c>
      <c r="E110" s="126" t="s">
        <v>259</v>
      </c>
      <c r="F110" s="126" t="s">
        <v>260</v>
      </c>
      <c r="G110" s="126" t="s">
        <v>261</v>
      </c>
      <c r="H110" s="143" t="s">
        <v>1111</v>
      </c>
      <c r="I110" s="142">
        <v>2726</v>
      </c>
    </row>
    <row r="111" spans="1:9" x14ac:dyDescent="0.3">
      <c r="A111" s="125" t="s">
        <v>544</v>
      </c>
      <c r="B111" s="125" t="s">
        <v>296</v>
      </c>
      <c r="C111" s="125" t="s">
        <v>311</v>
      </c>
      <c r="D111" s="126">
        <v>110</v>
      </c>
      <c r="E111" s="126"/>
      <c r="F111" s="126"/>
      <c r="G111" s="126" t="s">
        <v>262</v>
      </c>
      <c r="H111" s="143" t="s">
        <v>1112</v>
      </c>
      <c r="I111" s="142">
        <v>2706</v>
      </c>
    </row>
    <row r="112" spans="1:9" x14ac:dyDescent="0.3">
      <c r="A112" s="125" t="s">
        <v>1146</v>
      </c>
      <c r="B112" s="125" t="s">
        <v>305</v>
      </c>
      <c r="C112" s="125" t="s">
        <v>311</v>
      </c>
      <c r="D112" s="126"/>
      <c r="E112" s="126" t="s">
        <v>263</v>
      </c>
      <c r="F112" s="126" t="s">
        <v>264</v>
      </c>
      <c r="G112" s="126"/>
      <c r="H112" s="143" t="s">
        <v>1113</v>
      </c>
      <c r="I112" s="142">
        <v>2755</v>
      </c>
    </row>
    <row r="113" spans="1:9" x14ac:dyDescent="0.3">
      <c r="A113" s="125" t="s">
        <v>1147</v>
      </c>
      <c r="B113" s="125" t="s">
        <v>300</v>
      </c>
      <c r="C113" s="125" t="s">
        <v>311</v>
      </c>
      <c r="D113" s="126"/>
      <c r="E113" s="126" t="s">
        <v>309</v>
      </c>
      <c r="F113" s="126" t="s">
        <v>265</v>
      </c>
      <c r="G113" s="126"/>
      <c r="H113" s="143" t="s">
        <v>1114</v>
      </c>
      <c r="I113" s="142">
        <v>2278</v>
      </c>
    </row>
    <row r="114" spans="1:9" x14ac:dyDescent="0.3">
      <c r="A114" s="125" t="s">
        <v>545</v>
      </c>
      <c r="B114" s="125" t="s">
        <v>291</v>
      </c>
      <c r="C114" s="125" t="s">
        <v>311</v>
      </c>
      <c r="D114" s="126">
        <v>113</v>
      </c>
      <c r="E114" s="126"/>
      <c r="F114" s="126"/>
      <c r="G114" s="126" t="s">
        <v>266</v>
      </c>
      <c r="H114" s="143" t="s">
        <v>1115</v>
      </c>
      <c r="I114" s="142">
        <v>2318</v>
      </c>
    </row>
    <row r="115" spans="1:9" x14ac:dyDescent="0.3">
      <c r="A115" s="125" t="s">
        <v>506</v>
      </c>
      <c r="B115" s="125" t="s">
        <v>291</v>
      </c>
      <c r="C115" s="125" t="s">
        <v>311</v>
      </c>
      <c r="D115" s="126">
        <v>192</v>
      </c>
      <c r="E115" s="126" t="s">
        <v>267</v>
      </c>
      <c r="F115" s="126" t="s">
        <v>268</v>
      </c>
      <c r="G115" s="126" t="s">
        <v>269</v>
      </c>
      <c r="H115" s="143" t="s">
        <v>1116</v>
      </c>
      <c r="I115" s="142">
        <v>2531</v>
      </c>
    </row>
    <row r="116" spans="1:9" x14ac:dyDescent="0.3">
      <c r="A116" s="125" t="s">
        <v>507</v>
      </c>
      <c r="B116" s="125" t="s">
        <v>305</v>
      </c>
      <c r="C116" s="125" t="s">
        <v>311</v>
      </c>
      <c r="D116" s="126"/>
      <c r="E116" s="126" t="s">
        <v>270</v>
      </c>
      <c r="F116" s="126" t="s">
        <v>271</v>
      </c>
      <c r="G116" s="126"/>
      <c r="H116" s="143" t="s">
        <v>1117</v>
      </c>
      <c r="I116" s="142">
        <v>2494</v>
      </c>
    </row>
    <row r="117" spans="1:9" x14ac:dyDescent="0.3">
      <c r="A117" s="125" t="s">
        <v>508</v>
      </c>
      <c r="B117" s="125" t="s">
        <v>300</v>
      </c>
      <c r="C117" s="125" t="s">
        <v>311</v>
      </c>
      <c r="D117" s="126"/>
      <c r="E117" s="126" t="s">
        <v>272</v>
      </c>
      <c r="F117" s="126" t="s">
        <v>273</v>
      </c>
      <c r="G117" s="126"/>
      <c r="H117" s="143" t="s">
        <v>1118</v>
      </c>
      <c r="I117" s="142">
        <v>2376</v>
      </c>
    </row>
    <row r="118" spans="1:9" x14ac:dyDescent="0.3">
      <c r="A118" s="125" t="s">
        <v>1148</v>
      </c>
      <c r="B118" s="125" t="s">
        <v>292</v>
      </c>
      <c r="C118" s="125" t="s">
        <v>311</v>
      </c>
      <c r="D118" s="126">
        <v>211</v>
      </c>
      <c r="E118" s="159" t="s">
        <v>1854</v>
      </c>
      <c r="F118" s="126"/>
      <c r="G118" s="126" t="s">
        <v>256</v>
      </c>
      <c r="H118" s="143" t="s">
        <v>1119</v>
      </c>
      <c r="I118" s="142">
        <v>2779</v>
      </c>
    </row>
    <row r="119" spans="1:9" x14ac:dyDescent="0.3">
      <c r="A119" s="125" t="s">
        <v>1872</v>
      </c>
      <c r="B119" s="125" t="s">
        <v>293</v>
      </c>
      <c r="C119" s="125" t="s">
        <v>311</v>
      </c>
      <c r="D119" s="126">
        <v>106</v>
      </c>
      <c r="E119" s="159" t="s">
        <v>1856</v>
      </c>
      <c r="F119" s="126"/>
      <c r="G119" s="126"/>
      <c r="H119" s="143" t="s">
        <v>1120</v>
      </c>
      <c r="I119" s="142">
        <v>2778</v>
      </c>
    </row>
    <row r="120" spans="1:9" x14ac:dyDescent="0.3">
      <c r="A120" s="125" t="s">
        <v>509</v>
      </c>
      <c r="B120" s="125" t="s">
        <v>291</v>
      </c>
      <c r="C120" s="125" t="s">
        <v>312</v>
      </c>
      <c r="D120" s="126" t="s">
        <v>313</v>
      </c>
      <c r="E120" s="126" t="s">
        <v>314</v>
      </c>
      <c r="F120" s="126" t="s">
        <v>316</v>
      </c>
      <c r="G120" s="126" t="s">
        <v>315</v>
      </c>
      <c r="H120" s="143" t="s">
        <v>1121</v>
      </c>
      <c r="I120" s="142">
        <v>2613</v>
      </c>
    </row>
    <row r="121" spans="1:9" x14ac:dyDescent="0.3">
      <c r="A121" s="125" t="s">
        <v>1153</v>
      </c>
      <c r="B121" s="125" t="s">
        <v>317</v>
      </c>
      <c r="C121" s="125" t="s">
        <v>312</v>
      </c>
      <c r="D121" s="126">
        <v>213</v>
      </c>
      <c r="E121" s="126"/>
      <c r="F121" s="126" t="s">
        <v>318</v>
      </c>
      <c r="G121" s="126" t="s">
        <v>319</v>
      </c>
      <c r="H121" s="125"/>
      <c r="I121" s="142">
        <v>2243</v>
      </c>
    </row>
    <row r="122" spans="1:9" x14ac:dyDescent="0.3">
      <c r="A122" s="125" t="s">
        <v>1154</v>
      </c>
      <c r="B122" s="125" t="s">
        <v>320</v>
      </c>
      <c r="C122" s="125" t="s">
        <v>312</v>
      </c>
      <c r="D122" s="126"/>
      <c r="E122" s="126"/>
      <c r="F122" s="126" t="s">
        <v>321</v>
      </c>
      <c r="G122" s="126" t="s">
        <v>322</v>
      </c>
      <c r="H122" s="125"/>
      <c r="I122" s="142">
        <v>2335</v>
      </c>
    </row>
    <row r="123" spans="1:9" x14ac:dyDescent="0.3">
      <c r="A123" s="125" t="s">
        <v>510</v>
      </c>
      <c r="B123" s="125" t="s">
        <v>56</v>
      </c>
      <c r="C123" s="125" t="s">
        <v>312</v>
      </c>
      <c r="D123" s="126"/>
      <c r="E123" s="126"/>
      <c r="F123" s="126"/>
      <c r="G123" s="126" t="s">
        <v>323</v>
      </c>
      <c r="H123" s="125"/>
      <c r="I123" s="142">
        <v>2754</v>
      </c>
    </row>
    <row r="124" spans="1:9" x14ac:dyDescent="0.3">
      <c r="A124" s="125" t="s">
        <v>511</v>
      </c>
      <c r="B124" s="125" t="s">
        <v>47</v>
      </c>
      <c r="C124" s="125" t="s">
        <v>312</v>
      </c>
      <c r="D124" s="126" t="s">
        <v>324</v>
      </c>
      <c r="E124" s="126" t="s">
        <v>325</v>
      </c>
      <c r="F124" s="126" t="s">
        <v>327</v>
      </c>
      <c r="G124" s="126" t="s">
        <v>326</v>
      </c>
      <c r="H124" s="143" t="s">
        <v>1122</v>
      </c>
      <c r="I124" s="142">
        <v>2654</v>
      </c>
    </row>
    <row r="125" spans="1:9" x14ac:dyDescent="0.3">
      <c r="A125" s="125" t="s">
        <v>512</v>
      </c>
      <c r="B125" s="125" t="s">
        <v>56</v>
      </c>
      <c r="C125" s="125" t="s">
        <v>312</v>
      </c>
      <c r="D125" s="126" t="s">
        <v>328</v>
      </c>
      <c r="E125" s="126" t="s">
        <v>329</v>
      </c>
      <c r="F125" s="126" t="s">
        <v>331</v>
      </c>
      <c r="G125" s="126" t="s">
        <v>330</v>
      </c>
      <c r="H125" s="143" t="s">
        <v>1123</v>
      </c>
      <c r="I125" s="142">
        <v>2442</v>
      </c>
    </row>
    <row r="126" spans="1:9" x14ac:dyDescent="0.3">
      <c r="A126" s="125" t="s">
        <v>513</v>
      </c>
      <c r="B126" s="125" t="s">
        <v>56</v>
      </c>
      <c r="C126" s="125" t="s">
        <v>312</v>
      </c>
      <c r="D126" s="126" t="s">
        <v>332</v>
      </c>
      <c r="E126" s="126" t="s">
        <v>333</v>
      </c>
      <c r="F126" s="126" t="s">
        <v>335</v>
      </c>
      <c r="G126" s="126" t="s">
        <v>334</v>
      </c>
      <c r="H126" s="143" t="s">
        <v>1124</v>
      </c>
      <c r="I126" s="142">
        <v>2547</v>
      </c>
    </row>
    <row r="127" spans="1:9" x14ac:dyDescent="0.3">
      <c r="A127" s="125" t="s">
        <v>514</v>
      </c>
      <c r="B127" s="125" t="s">
        <v>67</v>
      </c>
      <c r="C127" s="125" t="s">
        <v>312</v>
      </c>
      <c r="D127" s="126" t="s">
        <v>336</v>
      </c>
      <c r="E127" s="126" t="s">
        <v>337</v>
      </c>
      <c r="F127" s="126"/>
      <c r="G127" s="126"/>
      <c r="H127" s="143" t="s">
        <v>1125</v>
      </c>
      <c r="I127" s="142">
        <v>2627</v>
      </c>
    </row>
    <row r="128" spans="1:9" x14ac:dyDescent="0.3">
      <c r="A128" s="125" t="s">
        <v>338</v>
      </c>
      <c r="B128" s="125" t="s">
        <v>62</v>
      </c>
      <c r="C128" s="125" t="s">
        <v>312</v>
      </c>
      <c r="D128" s="126">
        <v>208</v>
      </c>
      <c r="E128" s="126"/>
      <c r="F128" s="126" t="s">
        <v>339</v>
      </c>
      <c r="G128" s="126" t="s">
        <v>340</v>
      </c>
      <c r="H128" s="125"/>
      <c r="I128" s="142">
        <v>4</v>
      </c>
    </row>
    <row r="129" spans="1:9" x14ac:dyDescent="0.3">
      <c r="A129" s="125" t="s">
        <v>341</v>
      </c>
      <c r="B129" s="125" t="s">
        <v>62</v>
      </c>
      <c r="C129" s="125" t="s">
        <v>312</v>
      </c>
      <c r="D129" s="126">
        <v>212</v>
      </c>
      <c r="E129" s="126"/>
      <c r="F129" s="126" t="s">
        <v>342</v>
      </c>
      <c r="G129" s="126" t="s">
        <v>343</v>
      </c>
      <c r="H129" s="125"/>
      <c r="I129" s="142">
        <v>5</v>
      </c>
    </row>
    <row r="130" spans="1:9" x14ac:dyDescent="0.3">
      <c r="A130" s="125" t="s">
        <v>1155</v>
      </c>
      <c r="B130" s="125" t="s">
        <v>285</v>
      </c>
      <c r="C130" s="125" t="s">
        <v>312</v>
      </c>
      <c r="D130" s="126">
        <v>215</v>
      </c>
      <c r="E130" s="126"/>
      <c r="F130" s="126" t="s">
        <v>344</v>
      </c>
      <c r="G130" s="126" t="s">
        <v>345</v>
      </c>
      <c r="H130" s="125"/>
      <c r="I130" s="142">
        <v>2382</v>
      </c>
    </row>
    <row r="131" spans="1:9" x14ac:dyDescent="0.3">
      <c r="A131" s="125" t="s">
        <v>1156</v>
      </c>
      <c r="B131" s="125" t="s">
        <v>346</v>
      </c>
      <c r="C131" s="125" t="s">
        <v>312</v>
      </c>
      <c r="D131" s="126">
        <v>219</v>
      </c>
      <c r="E131" s="126"/>
      <c r="F131" s="126" t="s">
        <v>347</v>
      </c>
      <c r="G131" s="126" t="s">
        <v>348</v>
      </c>
      <c r="H131" s="125"/>
      <c r="I131" s="142">
        <v>753</v>
      </c>
    </row>
    <row r="132" spans="1:9" x14ac:dyDescent="0.3">
      <c r="A132" s="125" t="s">
        <v>1157</v>
      </c>
      <c r="B132" s="125" t="s">
        <v>349</v>
      </c>
      <c r="C132" s="125" t="s">
        <v>312</v>
      </c>
      <c r="D132" s="126"/>
      <c r="E132" s="126"/>
      <c r="F132" s="126" t="s">
        <v>350</v>
      </c>
      <c r="G132" s="126" t="s">
        <v>351</v>
      </c>
      <c r="H132" s="125"/>
      <c r="I132" s="142">
        <v>2660</v>
      </c>
    </row>
    <row r="133" spans="1:9" x14ac:dyDescent="0.3">
      <c r="A133" s="125" t="s">
        <v>1158</v>
      </c>
      <c r="B133" s="125" t="s">
        <v>352</v>
      </c>
      <c r="C133" s="125" t="s">
        <v>312</v>
      </c>
      <c r="D133" s="126">
        <v>214</v>
      </c>
      <c r="E133" s="126"/>
      <c r="F133" s="126" t="s">
        <v>353</v>
      </c>
      <c r="G133" s="126" t="s">
        <v>354</v>
      </c>
      <c r="H133" s="125"/>
      <c r="I133" s="142">
        <v>2205</v>
      </c>
    </row>
    <row r="134" spans="1:9" x14ac:dyDescent="0.3">
      <c r="A134" s="125" t="s">
        <v>1159</v>
      </c>
      <c r="B134" s="125" t="s">
        <v>355</v>
      </c>
      <c r="C134" s="125" t="s">
        <v>312</v>
      </c>
      <c r="D134" s="126">
        <v>216</v>
      </c>
      <c r="E134" s="126"/>
      <c r="F134" s="126" t="s">
        <v>356</v>
      </c>
      <c r="G134" s="126" t="s">
        <v>357</v>
      </c>
      <c r="H134" s="125"/>
      <c r="I134" s="142">
        <v>2079</v>
      </c>
    </row>
    <row r="135" spans="1:9" x14ac:dyDescent="0.3">
      <c r="A135" s="125" t="s">
        <v>1160</v>
      </c>
      <c r="B135" s="125" t="s">
        <v>358</v>
      </c>
      <c r="C135" s="125" t="s">
        <v>312</v>
      </c>
      <c r="D135" s="126">
        <v>220</v>
      </c>
      <c r="E135" s="126"/>
      <c r="F135" s="126" t="s">
        <v>359</v>
      </c>
      <c r="G135" s="126" t="s">
        <v>360</v>
      </c>
      <c r="H135" s="125"/>
      <c r="I135" s="142">
        <v>2091</v>
      </c>
    </row>
    <row r="136" spans="1:9" x14ac:dyDescent="0.3">
      <c r="A136" s="125" t="s">
        <v>515</v>
      </c>
      <c r="B136" s="125" t="s">
        <v>56</v>
      </c>
      <c r="C136" s="125" t="s">
        <v>312</v>
      </c>
      <c r="D136" s="126" t="s">
        <v>361</v>
      </c>
      <c r="E136" s="126" t="s">
        <v>362</v>
      </c>
      <c r="F136" s="126"/>
      <c r="G136" s="126"/>
      <c r="H136" s="143" t="s">
        <v>1126</v>
      </c>
      <c r="I136" s="142">
        <v>2522</v>
      </c>
    </row>
    <row r="137" spans="1:9" x14ac:dyDescent="0.3">
      <c r="A137" s="125" t="s">
        <v>363</v>
      </c>
      <c r="B137" s="125" t="s">
        <v>56</v>
      </c>
      <c r="C137" s="125" t="s">
        <v>312</v>
      </c>
      <c r="D137" s="126"/>
      <c r="E137" s="126"/>
      <c r="F137" s="126" t="s">
        <v>364</v>
      </c>
      <c r="G137" s="126" t="s">
        <v>365</v>
      </c>
      <c r="H137" s="125"/>
      <c r="I137" s="142">
        <v>6</v>
      </c>
    </row>
    <row r="138" spans="1:9" x14ac:dyDescent="0.3">
      <c r="A138" s="125" t="s">
        <v>516</v>
      </c>
      <c r="B138" s="125" t="s">
        <v>47</v>
      </c>
      <c r="C138" s="125" t="s">
        <v>366</v>
      </c>
      <c r="D138" s="126"/>
      <c r="E138" s="126"/>
      <c r="F138" s="126"/>
      <c r="G138" s="126" t="s">
        <v>367</v>
      </c>
      <c r="H138" s="143" t="s">
        <v>1127</v>
      </c>
      <c r="I138" s="142">
        <v>2670</v>
      </c>
    </row>
    <row r="139" spans="1:9" x14ac:dyDescent="0.3">
      <c r="A139" s="125" t="s">
        <v>1851</v>
      </c>
      <c r="B139" s="125" t="s">
        <v>278</v>
      </c>
      <c r="C139" s="125" t="s">
        <v>366</v>
      </c>
      <c r="D139" s="126"/>
      <c r="E139" s="126"/>
      <c r="F139" s="126" t="s">
        <v>368</v>
      </c>
      <c r="G139" s="126" t="s">
        <v>369</v>
      </c>
      <c r="H139" s="125"/>
      <c r="I139" s="142">
        <v>2616</v>
      </c>
    </row>
    <row r="140" spans="1:9" x14ac:dyDescent="0.3">
      <c r="A140" s="125" t="s">
        <v>370</v>
      </c>
      <c r="B140" s="125" t="s">
        <v>56</v>
      </c>
      <c r="C140" s="125" t="s">
        <v>366</v>
      </c>
      <c r="D140" s="126"/>
      <c r="E140" s="126"/>
      <c r="F140" s="126" t="s">
        <v>371</v>
      </c>
      <c r="G140" s="126" t="s">
        <v>372</v>
      </c>
      <c r="H140" s="125"/>
      <c r="I140" s="142">
        <v>7</v>
      </c>
    </row>
    <row r="141" spans="1:9" x14ac:dyDescent="0.3">
      <c r="A141" s="125" t="s">
        <v>47</v>
      </c>
      <c r="B141" s="125" t="s">
        <v>47</v>
      </c>
      <c r="C141" s="125" t="s">
        <v>366</v>
      </c>
      <c r="D141" s="126"/>
      <c r="E141" s="126"/>
      <c r="F141" s="126" t="s">
        <v>373</v>
      </c>
      <c r="G141" s="126" t="s">
        <v>374</v>
      </c>
      <c r="H141" s="125"/>
      <c r="I141" s="142">
        <v>8</v>
      </c>
    </row>
    <row r="142" spans="1:9" x14ac:dyDescent="0.3">
      <c r="A142" s="125" t="s">
        <v>517</v>
      </c>
      <c r="B142" s="125" t="s">
        <v>291</v>
      </c>
      <c r="C142" s="125" t="s">
        <v>385</v>
      </c>
      <c r="D142" s="126" t="s">
        <v>375</v>
      </c>
      <c r="E142" s="126" t="s">
        <v>376</v>
      </c>
      <c r="F142" s="126" t="s">
        <v>379</v>
      </c>
      <c r="G142" s="126" t="s">
        <v>377</v>
      </c>
      <c r="H142" s="143" t="s">
        <v>1128</v>
      </c>
      <c r="I142" s="142">
        <v>2634</v>
      </c>
    </row>
    <row r="143" spans="1:9" x14ac:dyDescent="0.3">
      <c r="A143" s="125" t="s">
        <v>378</v>
      </c>
      <c r="B143" s="125" t="s">
        <v>62</v>
      </c>
      <c r="C143" s="125" t="s">
        <v>366</v>
      </c>
      <c r="D143" s="126"/>
      <c r="E143" s="126"/>
      <c r="F143" s="126" t="s">
        <v>379</v>
      </c>
      <c r="G143" s="126" t="s">
        <v>380</v>
      </c>
      <c r="H143" s="125"/>
      <c r="I143" s="142">
        <v>9</v>
      </c>
    </row>
    <row r="144" spans="1:9" x14ac:dyDescent="0.3">
      <c r="A144" s="125" t="s">
        <v>518</v>
      </c>
      <c r="B144" s="125" t="s">
        <v>47</v>
      </c>
      <c r="C144" s="125" t="s">
        <v>366</v>
      </c>
      <c r="D144" s="126"/>
      <c r="E144" s="126"/>
      <c r="F144" s="126"/>
      <c r="G144" s="126" t="s">
        <v>381</v>
      </c>
      <c r="H144" s="143" t="s">
        <v>1129</v>
      </c>
      <c r="I144" s="142">
        <v>2750</v>
      </c>
    </row>
    <row r="145" spans="1:9" x14ac:dyDescent="0.3">
      <c r="A145" s="125" t="s">
        <v>382</v>
      </c>
      <c r="B145" s="125" t="s">
        <v>56</v>
      </c>
      <c r="C145" s="125" t="s">
        <v>366</v>
      </c>
      <c r="D145" s="126"/>
      <c r="E145" s="126"/>
      <c r="F145" s="126" t="s">
        <v>383</v>
      </c>
      <c r="G145" s="126" t="s">
        <v>384</v>
      </c>
      <c r="H145" s="125"/>
      <c r="I145" s="142">
        <v>10</v>
      </c>
    </row>
    <row r="146" spans="1:9" x14ac:dyDescent="0.3">
      <c r="A146" s="125" t="s">
        <v>520</v>
      </c>
      <c r="B146" s="125" t="s">
        <v>52</v>
      </c>
      <c r="C146" s="125" t="s">
        <v>385</v>
      </c>
      <c r="D146" s="126" t="s">
        <v>386</v>
      </c>
      <c r="E146" s="126" t="s">
        <v>387</v>
      </c>
      <c r="F146" s="126" t="s">
        <v>389</v>
      </c>
      <c r="G146" s="126" t="s">
        <v>388</v>
      </c>
      <c r="H146" s="143" t="s">
        <v>1130</v>
      </c>
      <c r="I146" s="142">
        <v>2435</v>
      </c>
    </row>
    <row r="147" spans="1:9" x14ac:dyDescent="0.3">
      <c r="A147" s="125" t="s">
        <v>521</v>
      </c>
      <c r="B147" s="125" t="s">
        <v>62</v>
      </c>
      <c r="C147" s="125" t="s">
        <v>385</v>
      </c>
      <c r="D147" s="126" t="s">
        <v>390</v>
      </c>
      <c r="E147" s="126" t="s">
        <v>391</v>
      </c>
      <c r="F147" s="126" t="s">
        <v>393</v>
      </c>
      <c r="G147" s="126" t="s">
        <v>392</v>
      </c>
      <c r="H147" s="143" t="s">
        <v>1131</v>
      </c>
      <c r="I147" s="142">
        <v>2650</v>
      </c>
    </row>
    <row r="148" spans="1:9" x14ac:dyDescent="0.3">
      <c r="A148" s="125" t="s">
        <v>394</v>
      </c>
      <c r="B148" s="125" t="s">
        <v>56</v>
      </c>
      <c r="C148" s="125" t="s">
        <v>385</v>
      </c>
      <c r="D148" s="126"/>
      <c r="E148" s="126"/>
      <c r="F148" s="126" t="s">
        <v>395</v>
      </c>
      <c r="G148" s="126" t="s">
        <v>396</v>
      </c>
      <c r="H148" s="125"/>
      <c r="I148" s="142">
        <v>11</v>
      </c>
    </row>
    <row r="149" spans="1:9" x14ac:dyDescent="0.3">
      <c r="A149" s="125" t="s">
        <v>522</v>
      </c>
      <c r="B149" s="125" t="s">
        <v>56</v>
      </c>
      <c r="C149" s="125" t="s">
        <v>385</v>
      </c>
      <c r="D149" s="126" t="s">
        <v>397</v>
      </c>
      <c r="E149" s="126" t="s">
        <v>398</v>
      </c>
      <c r="F149" s="126" t="s">
        <v>401</v>
      </c>
      <c r="G149" s="126" t="s">
        <v>399</v>
      </c>
      <c r="H149" s="143" t="s">
        <v>1132</v>
      </c>
      <c r="I149" s="142">
        <v>2665</v>
      </c>
    </row>
    <row r="150" spans="1:9" x14ac:dyDescent="0.3">
      <c r="A150" s="125" t="s">
        <v>400</v>
      </c>
      <c r="B150" s="125" t="s">
        <v>195</v>
      </c>
      <c r="C150" s="125" t="s">
        <v>385</v>
      </c>
      <c r="D150" s="126"/>
      <c r="E150" s="126"/>
      <c r="F150" s="126" t="s">
        <v>401</v>
      </c>
      <c r="G150" s="126" t="s">
        <v>402</v>
      </c>
      <c r="H150" s="125"/>
      <c r="I150" s="142">
        <v>12</v>
      </c>
    </row>
    <row r="151" spans="1:9" x14ac:dyDescent="0.3">
      <c r="A151" s="125" t="s">
        <v>523</v>
      </c>
      <c r="B151" s="125" t="s">
        <v>56</v>
      </c>
      <c r="C151" s="125" t="s">
        <v>385</v>
      </c>
      <c r="D151" s="126" t="s">
        <v>403</v>
      </c>
      <c r="E151" s="126" t="s">
        <v>404</v>
      </c>
      <c r="F151" s="126" t="s">
        <v>1865</v>
      </c>
      <c r="G151" s="126" t="s">
        <v>405</v>
      </c>
      <c r="H151" s="143" t="s">
        <v>1133</v>
      </c>
      <c r="I151" s="142">
        <v>2702</v>
      </c>
    </row>
    <row r="152" spans="1:9" x14ac:dyDescent="0.3">
      <c r="A152" s="125" t="s">
        <v>406</v>
      </c>
      <c r="B152" s="125" t="s">
        <v>67</v>
      </c>
      <c r="C152" s="125" t="s">
        <v>385</v>
      </c>
      <c r="D152" s="126"/>
      <c r="E152" s="126"/>
      <c r="F152" s="126" t="s">
        <v>407</v>
      </c>
      <c r="G152" s="126" t="s">
        <v>408</v>
      </c>
      <c r="H152" s="125"/>
      <c r="I152" s="142">
        <v>13</v>
      </c>
    </row>
    <row r="153" spans="1:9" x14ac:dyDescent="0.3">
      <c r="A153" s="125" t="s">
        <v>72</v>
      </c>
      <c r="B153" s="125" t="s">
        <v>56</v>
      </c>
      <c r="C153" s="125" t="s">
        <v>385</v>
      </c>
      <c r="D153" s="126"/>
      <c r="E153" s="126"/>
      <c r="F153" s="126" t="s">
        <v>409</v>
      </c>
      <c r="G153" s="126" t="s">
        <v>410</v>
      </c>
      <c r="H153" s="125"/>
      <c r="I153" s="142">
        <v>14</v>
      </c>
    </row>
    <row r="154" spans="1:9" x14ac:dyDescent="0.3">
      <c r="A154" s="125" t="s">
        <v>546</v>
      </c>
      <c r="B154" s="125" t="s">
        <v>291</v>
      </c>
      <c r="C154" s="125" t="s">
        <v>385</v>
      </c>
      <c r="D154" s="126" t="s">
        <v>413</v>
      </c>
      <c r="E154" s="126" t="s">
        <v>414</v>
      </c>
      <c r="F154" s="126" t="s">
        <v>412</v>
      </c>
      <c r="G154" s="126" t="s">
        <v>411</v>
      </c>
      <c r="H154" s="143" t="s">
        <v>1134</v>
      </c>
      <c r="I154" s="142">
        <v>2335</v>
      </c>
    </row>
    <row r="155" spans="1:9" x14ac:dyDescent="0.3">
      <c r="A155" s="125" t="s">
        <v>1857</v>
      </c>
      <c r="B155" s="125" t="s">
        <v>147</v>
      </c>
      <c r="C155" s="125" t="s">
        <v>311</v>
      </c>
      <c r="D155" s="126">
        <v>128</v>
      </c>
      <c r="E155" s="126"/>
      <c r="F155" s="126"/>
      <c r="G155" s="126"/>
      <c r="H155" s="143" t="s">
        <v>1859</v>
      </c>
      <c r="I155" s="142">
        <v>2791</v>
      </c>
    </row>
    <row r="156" spans="1:9" x14ac:dyDescent="0.3">
      <c r="A156" s="125" t="s">
        <v>1860</v>
      </c>
      <c r="B156" s="125" t="s">
        <v>50</v>
      </c>
      <c r="C156" s="125" t="s">
        <v>311</v>
      </c>
      <c r="D156" s="126">
        <v>213</v>
      </c>
      <c r="E156" s="126"/>
      <c r="F156" s="126"/>
      <c r="G156" s="126"/>
      <c r="H156" s="143" t="s">
        <v>1861</v>
      </c>
      <c r="I156" s="142"/>
    </row>
    <row r="157" spans="1:9" x14ac:dyDescent="0.3">
      <c r="A157" s="125" t="s">
        <v>1863</v>
      </c>
      <c r="B157" s="125" t="s">
        <v>1864</v>
      </c>
      <c r="C157" s="125" t="s">
        <v>311</v>
      </c>
      <c r="D157" s="126" t="s">
        <v>1862</v>
      </c>
      <c r="E157" s="126"/>
      <c r="F157" s="126"/>
      <c r="G157" s="126"/>
      <c r="H157" s="125"/>
      <c r="I157" s="142"/>
    </row>
    <row r="158" spans="1:9" x14ac:dyDescent="0.3">
      <c r="A158" s="125" t="s">
        <v>1866</v>
      </c>
      <c r="B158" s="125"/>
      <c r="C158" s="125"/>
      <c r="D158" s="126">
        <v>119</v>
      </c>
      <c r="E158" s="126"/>
      <c r="F158" s="126"/>
      <c r="G158" s="126"/>
      <c r="H158" s="125"/>
      <c r="I158" s="142"/>
    </row>
    <row r="159" spans="1:9" x14ac:dyDescent="0.3">
      <c r="A159" s="125" t="s">
        <v>1867</v>
      </c>
      <c r="B159" s="125"/>
      <c r="C159" s="125"/>
      <c r="D159" s="126">
        <v>117</v>
      </c>
      <c r="E159" s="126"/>
      <c r="F159" s="126"/>
      <c r="G159" s="126"/>
      <c r="H159" s="125"/>
      <c r="I159" s="142"/>
    </row>
    <row r="160" spans="1:9" x14ac:dyDescent="0.3">
      <c r="A160" s="125" t="s">
        <v>1868</v>
      </c>
      <c r="B160" s="125"/>
      <c r="C160" s="125"/>
      <c r="D160" s="126">
        <v>184</v>
      </c>
      <c r="E160" s="126"/>
      <c r="F160" s="126"/>
      <c r="G160" s="126"/>
      <c r="H160" s="125"/>
      <c r="I160" s="142"/>
    </row>
    <row r="161" spans="1:9" x14ac:dyDescent="0.3">
      <c r="A161" s="125" t="s">
        <v>1869</v>
      </c>
      <c r="B161" s="125"/>
      <c r="C161" s="125"/>
      <c r="D161" s="126">
        <v>185</v>
      </c>
      <c r="E161" s="126"/>
      <c r="F161" s="126"/>
      <c r="G161" s="126"/>
      <c r="H161" s="125"/>
      <c r="I161" s="142"/>
    </row>
    <row r="162" spans="1:9" x14ac:dyDescent="0.3">
      <c r="A162" s="125" t="s">
        <v>1870</v>
      </c>
      <c r="B162" s="125"/>
      <c r="C162" s="125"/>
      <c r="D162" s="126">
        <v>212</v>
      </c>
      <c r="E162" s="126"/>
      <c r="F162" s="126"/>
      <c r="G162" s="126"/>
      <c r="H162" s="125"/>
      <c r="I162" s="142"/>
    </row>
    <row r="163" spans="1:9" x14ac:dyDescent="0.3">
      <c r="A163" s="125" t="s">
        <v>1871</v>
      </c>
      <c r="B163" s="125"/>
      <c r="C163" s="125"/>
      <c r="D163" s="126">
        <v>198</v>
      </c>
      <c r="E163" s="126"/>
      <c r="F163" s="126"/>
      <c r="G163" s="126"/>
      <c r="H163" s="125"/>
      <c r="I163" s="142"/>
    </row>
    <row r="164" spans="1:9" x14ac:dyDescent="0.3">
      <c r="A164" s="125" t="s">
        <v>1876</v>
      </c>
      <c r="B164" s="125" t="s">
        <v>50</v>
      </c>
      <c r="C164" s="125"/>
      <c r="D164" s="126">
        <v>204</v>
      </c>
      <c r="E164" s="126"/>
      <c r="F164" s="126"/>
      <c r="G164" s="126"/>
      <c r="H164" s="125"/>
      <c r="I164" s="142"/>
    </row>
    <row r="165" spans="1:9" x14ac:dyDescent="0.3">
      <c r="A165" s="125" t="s">
        <v>1884</v>
      </c>
      <c r="B165" s="125" t="s">
        <v>1877</v>
      </c>
      <c r="C165" s="125"/>
      <c r="D165" s="126">
        <v>166</v>
      </c>
      <c r="E165" s="126"/>
      <c r="F165" s="126"/>
      <c r="G165" s="126"/>
      <c r="H165" s="125"/>
      <c r="I165" s="142"/>
    </row>
    <row r="166" spans="1:9" x14ac:dyDescent="0.3">
      <c r="A166" s="125" t="s">
        <v>1878</v>
      </c>
      <c r="B166" s="125" t="s">
        <v>1879</v>
      </c>
      <c r="C166" s="125"/>
      <c r="D166" s="126">
        <v>150</v>
      </c>
      <c r="E166" s="126"/>
      <c r="F166" s="126"/>
      <c r="G166" s="126"/>
      <c r="H166" s="125"/>
      <c r="I166" s="142"/>
    </row>
    <row r="167" spans="1:9" x14ac:dyDescent="0.3">
      <c r="A167" s="125" t="s">
        <v>1883</v>
      </c>
      <c r="B167" s="125"/>
      <c r="C167" s="125"/>
      <c r="D167" s="126">
        <v>103</v>
      </c>
      <c r="E167" s="126"/>
      <c r="F167" s="126"/>
      <c r="G167" s="126"/>
      <c r="H167" s="125"/>
      <c r="I167" s="142"/>
    </row>
    <row r="168" spans="1:9" x14ac:dyDescent="0.3">
      <c r="A168" s="125"/>
      <c r="B168" s="125"/>
      <c r="C168" s="125"/>
      <c r="D168" s="126"/>
      <c r="E168" s="126"/>
      <c r="F168" s="126"/>
      <c r="G168" s="126"/>
      <c r="H168" s="125"/>
      <c r="I168" s="142"/>
    </row>
    <row r="169" spans="1:9" x14ac:dyDescent="0.3">
      <c r="A169" s="125"/>
      <c r="B169" s="125"/>
      <c r="C169" s="125"/>
      <c r="D169" s="126"/>
      <c r="E169" s="126"/>
      <c r="F169" s="126"/>
      <c r="G169" s="126"/>
      <c r="H169" s="125"/>
      <c r="I169" s="142"/>
    </row>
    <row r="170" spans="1:9" x14ac:dyDescent="0.3">
      <c r="A170" s="125"/>
      <c r="B170" s="125"/>
      <c r="C170" s="125"/>
      <c r="D170" s="126"/>
      <c r="E170" s="126"/>
      <c r="F170" s="126"/>
      <c r="G170" s="126"/>
      <c r="H170" s="125"/>
      <c r="I170" s="142"/>
    </row>
    <row r="171" spans="1:9" x14ac:dyDescent="0.3">
      <c r="A171" s="125"/>
      <c r="B171" s="125"/>
      <c r="C171" s="125"/>
      <c r="D171" s="126"/>
      <c r="E171" s="126"/>
      <c r="F171" s="126"/>
      <c r="G171" s="126"/>
      <c r="H171" s="125"/>
      <c r="I171" s="142"/>
    </row>
    <row r="172" spans="1:9" x14ac:dyDescent="0.3">
      <c r="A172" s="125"/>
      <c r="B172" s="125"/>
      <c r="C172" s="125"/>
      <c r="D172" s="126"/>
      <c r="E172" s="126"/>
      <c r="F172" s="126"/>
      <c r="G172" s="126"/>
      <c r="H172" s="125"/>
      <c r="I172" s="142"/>
    </row>
    <row r="173" spans="1:9" x14ac:dyDescent="0.3">
      <c r="A173" s="125"/>
      <c r="B173" s="125"/>
      <c r="C173" s="125"/>
      <c r="D173" s="126"/>
      <c r="E173" s="126"/>
      <c r="F173" s="126"/>
      <c r="G173" s="126"/>
      <c r="H173" s="125"/>
      <c r="I173" s="142"/>
    </row>
    <row r="174" spans="1:9" x14ac:dyDescent="0.3">
      <c r="A174" s="125"/>
      <c r="B174" s="125"/>
      <c r="C174" s="125"/>
      <c r="D174" s="126"/>
      <c r="E174" s="126"/>
      <c r="F174" s="126"/>
      <c r="G174" s="126"/>
      <c r="H174" s="125"/>
      <c r="I174" s="142"/>
    </row>
    <row r="175" spans="1:9" x14ac:dyDescent="0.3">
      <c r="A175" s="125"/>
      <c r="B175" s="125"/>
      <c r="C175" s="125"/>
      <c r="D175" s="126"/>
      <c r="E175" s="126"/>
      <c r="F175" s="126"/>
      <c r="G175" s="126"/>
      <c r="H175" s="125"/>
      <c r="I175" s="142"/>
    </row>
    <row r="176" spans="1:9" x14ac:dyDescent="0.3">
      <c r="A176" s="125"/>
      <c r="B176" s="125"/>
      <c r="C176" s="125"/>
      <c r="D176" s="126"/>
      <c r="E176" s="126"/>
      <c r="F176" s="126"/>
      <c r="G176" s="126"/>
      <c r="H176" s="125"/>
      <c r="I176" s="142"/>
    </row>
    <row r="177" spans="1:9" x14ac:dyDescent="0.3">
      <c r="A177" s="125"/>
      <c r="B177" s="125"/>
      <c r="C177" s="125"/>
      <c r="D177" s="126"/>
      <c r="E177" s="126"/>
      <c r="F177" s="126"/>
      <c r="G177" s="126"/>
      <c r="H177" s="125"/>
      <c r="I177" s="142"/>
    </row>
    <row r="178" spans="1:9" x14ac:dyDescent="0.3">
      <c r="A178" s="125"/>
      <c r="B178" s="125"/>
      <c r="C178" s="125"/>
      <c r="D178" s="126"/>
      <c r="E178" s="126"/>
      <c r="F178" s="126"/>
      <c r="G178" s="126"/>
      <c r="H178" s="125"/>
      <c r="I178" s="142"/>
    </row>
    <row r="179" spans="1:9" hidden="1" x14ac:dyDescent="0.3">
      <c r="A179" s="125"/>
      <c r="B179" s="125"/>
      <c r="C179" s="125"/>
      <c r="D179" s="126"/>
      <c r="E179" s="126"/>
      <c r="F179" s="126"/>
      <c r="G179" s="126"/>
      <c r="H179" s="125"/>
    </row>
    <row r="180" spans="1:9" hidden="1" x14ac:dyDescent="0.3">
      <c r="A180" s="125"/>
      <c r="B180" s="125"/>
      <c r="C180" s="125"/>
      <c r="D180" s="126"/>
      <c r="E180" s="126"/>
      <c r="F180" s="126"/>
      <c r="G180" s="126"/>
      <c r="H180" s="125"/>
    </row>
    <row r="181" spans="1:9" hidden="1" x14ac:dyDescent="0.3">
      <c r="A181" s="125"/>
      <c r="B181" s="125"/>
      <c r="C181" s="125"/>
      <c r="D181" s="126"/>
      <c r="E181" s="126"/>
      <c r="F181" s="126"/>
      <c r="G181" s="126"/>
      <c r="H181" s="125"/>
    </row>
    <row r="182" spans="1:9" hidden="1" x14ac:dyDescent="0.3">
      <c r="A182" s="125"/>
      <c r="B182" s="125"/>
      <c r="C182" s="125"/>
      <c r="D182" s="126"/>
      <c r="E182" s="126"/>
      <c r="F182" s="126"/>
      <c r="G182" s="126"/>
      <c r="H182" s="125"/>
    </row>
    <row r="183" spans="1:9" hidden="1" x14ac:dyDescent="0.3">
      <c r="A183" s="125"/>
      <c r="B183" s="125"/>
      <c r="C183" s="125"/>
      <c r="D183" s="126"/>
      <c r="E183" s="126"/>
      <c r="F183" s="126"/>
      <c r="G183" s="126"/>
      <c r="H183" s="125"/>
    </row>
    <row r="184" spans="1:9" hidden="1" x14ac:dyDescent="0.3">
      <c r="A184" s="125"/>
      <c r="B184" s="125"/>
      <c r="C184" s="125"/>
      <c r="D184" s="126"/>
      <c r="E184" s="126"/>
      <c r="F184" s="126"/>
      <c r="G184" s="126"/>
      <c r="H184" s="125"/>
    </row>
    <row r="185" spans="1:9" hidden="1" x14ac:dyDescent="0.3">
      <c r="A185" s="125"/>
      <c r="B185" s="125"/>
      <c r="C185" s="125"/>
      <c r="D185" s="126"/>
      <c r="E185" s="126"/>
      <c r="F185" s="126"/>
      <c r="G185" s="126"/>
      <c r="H185" s="125"/>
    </row>
    <row r="186" spans="1:9" hidden="1" x14ac:dyDescent="0.3">
      <c r="A186" s="125"/>
      <c r="B186" s="125"/>
      <c r="C186" s="125"/>
      <c r="D186" s="126"/>
      <c r="E186" s="126"/>
      <c r="F186" s="126"/>
      <c r="G186" s="126"/>
      <c r="H186" s="125"/>
    </row>
    <row r="187" spans="1:9" hidden="1" x14ac:dyDescent="0.3">
      <c r="A187" s="125"/>
      <c r="B187" s="125"/>
      <c r="C187" s="125"/>
      <c r="D187" s="126"/>
      <c r="E187" s="126"/>
      <c r="F187" s="126"/>
      <c r="G187" s="126"/>
      <c r="H187" s="125"/>
    </row>
    <row r="188" spans="1:9" hidden="1" x14ac:dyDescent="0.3">
      <c r="A188" s="125"/>
      <c r="B188" s="125"/>
      <c r="C188" s="125"/>
      <c r="D188" s="126"/>
      <c r="E188" s="126"/>
      <c r="F188" s="126"/>
      <c r="G188" s="126"/>
      <c r="H188" s="125"/>
    </row>
    <row r="189" spans="1:9" hidden="1" x14ac:dyDescent="0.3">
      <c r="A189" s="125"/>
      <c r="B189" s="125"/>
      <c r="C189" s="125"/>
      <c r="D189" s="126"/>
      <c r="E189" s="126"/>
      <c r="F189" s="126"/>
      <c r="G189" s="126"/>
      <c r="H189" s="125"/>
    </row>
    <row r="190" spans="1:9" hidden="1" x14ac:dyDescent="0.3">
      <c r="A190" s="125"/>
      <c r="B190" s="125"/>
      <c r="C190" s="125"/>
      <c r="D190" s="126"/>
      <c r="E190" s="126"/>
      <c r="F190" s="126"/>
      <c r="G190" s="126"/>
      <c r="H190" s="125"/>
    </row>
    <row r="191" spans="1:9" hidden="1" x14ac:dyDescent="0.3">
      <c r="A191" s="125"/>
      <c r="B191" s="125"/>
      <c r="C191" s="125"/>
      <c r="D191" s="126"/>
      <c r="E191" s="126"/>
      <c r="F191" s="126"/>
      <c r="G191" s="126"/>
      <c r="H191" s="125"/>
    </row>
    <row r="192" spans="1:9" hidden="1" x14ac:dyDescent="0.3">
      <c r="A192" s="125"/>
      <c r="B192" s="125"/>
      <c r="C192" s="125"/>
      <c r="D192" s="126"/>
      <c r="E192" s="126"/>
      <c r="F192" s="126"/>
      <c r="G192" s="126"/>
      <c r="H192" s="125"/>
    </row>
    <row r="193" spans="1:8" hidden="1" x14ac:dyDescent="0.3">
      <c r="A193" s="125"/>
      <c r="B193" s="125"/>
      <c r="C193" s="125"/>
      <c r="D193" s="126"/>
      <c r="E193" s="126"/>
      <c r="F193" s="126"/>
      <c r="G193" s="126"/>
      <c r="H193" s="125"/>
    </row>
    <row r="194" spans="1:8" hidden="1" x14ac:dyDescent="0.3">
      <c r="A194" s="125"/>
      <c r="B194" s="125"/>
      <c r="C194" s="125"/>
      <c r="D194" s="126"/>
      <c r="E194" s="126"/>
      <c r="F194" s="126"/>
      <c r="G194" s="126"/>
      <c r="H194" s="125"/>
    </row>
    <row r="195" spans="1:8" hidden="1" x14ac:dyDescent="0.3">
      <c r="A195" s="125"/>
      <c r="B195" s="125"/>
      <c r="C195" s="125"/>
      <c r="D195" s="126"/>
      <c r="E195" s="126"/>
      <c r="F195" s="126"/>
      <c r="G195" s="126"/>
      <c r="H195" s="125"/>
    </row>
    <row r="196" spans="1:8" hidden="1" x14ac:dyDescent="0.3">
      <c r="A196" s="125"/>
      <c r="B196" s="125"/>
      <c r="C196" s="125"/>
      <c r="D196" s="126"/>
      <c r="E196" s="126"/>
      <c r="F196" s="126"/>
      <c r="G196" s="126"/>
      <c r="H196" s="125"/>
    </row>
    <row r="197" spans="1:8" hidden="1" x14ac:dyDescent="0.3">
      <c r="A197" s="125"/>
      <c r="B197" s="125"/>
      <c r="C197" s="125"/>
      <c r="D197" s="126"/>
      <c r="E197" s="126"/>
      <c r="F197" s="126"/>
      <c r="G197" s="126"/>
      <c r="H197" s="125"/>
    </row>
    <row r="198" spans="1:8" hidden="1" x14ac:dyDescent="0.3">
      <c r="A198" s="125"/>
      <c r="B198" s="125"/>
      <c r="C198" s="125"/>
      <c r="D198" s="126"/>
      <c r="E198" s="126"/>
      <c r="F198" s="126"/>
      <c r="G198" s="126"/>
      <c r="H198" s="125"/>
    </row>
    <row r="199" spans="1:8" hidden="1" x14ac:dyDescent="0.3">
      <c r="A199" s="125"/>
      <c r="B199" s="125"/>
      <c r="C199" s="125"/>
      <c r="D199" s="126"/>
      <c r="E199" s="126"/>
      <c r="F199" s="126"/>
      <c r="G199" s="126"/>
      <c r="H199" s="125"/>
    </row>
    <row r="200" spans="1:8" hidden="1" x14ac:dyDescent="0.3">
      <c r="A200" s="125"/>
      <c r="B200" s="125"/>
      <c r="C200" s="125"/>
      <c r="D200" s="126"/>
      <c r="E200" s="126"/>
      <c r="F200" s="126"/>
      <c r="G200" s="126"/>
      <c r="H200" s="125"/>
    </row>
    <row r="201" spans="1:8" hidden="1" x14ac:dyDescent="0.3">
      <c r="A201" s="125"/>
      <c r="B201" s="125"/>
      <c r="C201" s="125"/>
      <c r="D201" s="126"/>
      <c r="E201" s="126"/>
      <c r="F201" s="126"/>
      <c r="G201" s="126"/>
      <c r="H201" s="125"/>
    </row>
    <row r="202" spans="1:8" hidden="1" x14ac:dyDescent="0.3">
      <c r="A202" s="125"/>
      <c r="B202" s="125"/>
      <c r="C202" s="125"/>
      <c r="D202" s="126"/>
      <c r="E202" s="126"/>
      <c r="F202" s="126"/>
      <c r="G202" s="126"/>
      <c r="H202" s="125"/>
    </row>
    <row r="203" spans="1:8" hidden="1" x14ac:dyDescent="0.3">
      <c r="A203" s="125"/>
      <c r="B203" s="125"/>
      <c r="C203" s="125"/>
      <c r="D203" s="126"/>
      <c r="E203" s="126"/>
      <c r="F203" s="126"/>
      <c r="G203" s="126"/>
      <c r="H203" s="125"/>
    </row>
    <row r="204" spans="1:8" hidden="1" x14ac:dyDescent="0.3">
      <c r="A204" s="125"/>
      <c r="B204" s="125"/>
      <c r="C204" s="125"/>
      <c r="D204" s="126"/>
      <c r="E204" s="126"/>
      <c r="F204" s="126"/>
      <c r="G204" s="126"/>
      <c r="H204" s="125"/>
    </row>
    <row r="205" spans="1:8" hidden="1" x14ac:dyDescent="0.3">
      <c r="A205" s="125"/>
      <c r="B205" s="125"/>
      <c r="C205" s="125"/>
      <c r="D205" s="126"/>
      <c r="E205" s="126"/>
      <c r="F205" s="126"/>
      <c r="G205" s="126"/>
      <c r="H205" s="125"/>
    </row>
    <row r="206" spans="1:8" hidden="1" x14ac:dyDescent="0.3">
      <c r="A206" s="125"/>
      <c r="B206" s="125"/>
      <c r="C206" s="125"/>
      <c r="D206" s="126"/>
      <c r="E206" s="126"/>
      <c r="F206" s="126"/>
      <c r="G206" s="126"/>
      <c r="H206" s="125"/>
    </row>
    <row r="207" spans="1:8" hidden="1" x14ac:dyDescent="0.3">
      <c r="A207" s="125"/>
      <c r="B207" s="125"/>
      <c r="C207" s="125"/>
      <c r="D207" s="126"/>
      <c r="E207" s="126"/>
      <c r="F207" s="126"/>
      <c r="G207" s="126"/>
      <c r="H207" s="125"/>
    </row>
    <row r="208" spans="1:8" hidden="1" x14ac:dyDescent="0.3">
      <c r="A208" s="125"/>
      <c r="B208" s="125"/>
      <c r="C208" s="125"/>
      <c r="D208" s="126"/>
      <c r="E208" s="126"/>
      <c r="F208" s="126"/>
      <c r="G208" s="126"/>
      <c r="H208" s="125"/>
    </row>
    <row r="209" spans="1:8" hidden="1" x14ac:dyDescent="0.3">
      <c r="A209" s="125"/>
      <c r="B209" s="125"/>
      <c r="C209" s="125"/>
      <c r="D209" s="126"/>
      <c r="E209" s="126"/>
      <c r="F209" s="126"/>
      <c r="G209" s="126"/>
      <c r="H209" s="125"/>
    </row>
    <row r="210" spans="1:8" hidden="1" x14ac:dyDescent="0.3">
      <c r="A210" s="125"/>
      <c r="B210" s="125"/>
      <c r="C210" s="125"/>
      <c r="D210" s="126"/>
      <c r="E210" s="126"/>
      <c r="F210" s="126"/>
      <c r="G210" s="126"/>
      <c r="H210" s="125"/>
    </row>
    <row r="211" spans="1:8" hidden="1" x14ac:dyDescent="0.3">
      <c r="A211" s="125"/>
      <c r="B211" s="125"/>
      <c r="C211" s="125"/>
      <c r="D211" s="126"/>
      <c r="E211" s="126"/>
      <c r="F211" s="126"/>
      <c r="G211" s="126"/>
      <c r="H211" s="125"/>
    </row>
    <row r="212" spans="1:8" hidden="1" x14ac:dyDescent="0.3">
      <c r="A212" s="125"/>
      <c r="B212" s="125"/>
      <c r="C212" s="125"/>
      <c r="D212" s="126"/>
      <c r="E212" s="126"/>
      <c r="F212" s="126"/>
      <c r="G212" s="126"/>
      <c r="H212" s="125"/>
    </row>
    <row r="213" spans="1:8" hidden="1" x14ac:dyDescent="0.3">
      <c r="A213" s="125"/>
      <c r="B213" s="125"/>
      <c r="C213" s="125"/>
      <c r="D213" s="126"/>
      <c r="E213" s="126"/>
      <c r="F213" s="126"/>
      <c r="G213" s="126"/>
      <c r="H213" s="125"/>
    </row>
    <row r="214" spans="1:8" hidden="1" x14ac:dyDescent="0.3">
      <c r="A214" s="125"/>
      <c r="B214" s="125"/>
      <c r="C214" s="125"/>
      <c r="D214" s="126"/>
      <c r="E214" s="126"/>
      <c r="F214" s="126"/>
      <c r="G214" s="126"/>
      <c r="H214" s="125"/>
    </row>
    <row r="215" spans="1:8" hidden="1" x14ac:dyDescent="0.3">
      <c r="A215" s="125"/>
      <c r="B215" s="125"/>
      <c r="C215" s="125"/>
      <c r="D215" s="126"/>
      <c r="E215" s="126"/>
      <c r="F215" s="126"/>
      <c r="G215" s="126"/>
      <c r="H215" s="125"/>
    </row>
    <row r="216" spans="1:8" hidden="1" x14ac:dyDescent="0.3">
      <c r="A216" s="125"/>
      <c r="B216" s="125"/>
      <c r="C216" s="125"/>
      <c r="D216" s="126"/>
      <c r="E216" s="126"/>
      <c r="F216" s="126"/>
      <c r="G216" s="126"/>
      <c r="H216" s="125"/>
    </row>
    <row r="217" spans="1:8" hidden="1" x14ac:dyDescent="0.3">
      <c r="A217" s="125"/>
      <c r="B217" s="125"/>
      <c r="C217" s="125"/>
      <c r="D217" s="126"/>
      <c r="E217" s="126"/>
      <c r="F217" s="126"/>
      <c r="G217" s="126"/>
      <c r="H217" s="125"/>
    </row>
    <row r="218" spans="1:8" hidden="1" x14ac:dyDescent="0.3">
      <c r="A218" s="125"/>
      <c r="B218" s="125"/>
      <c r="C218" s="125"/>
      <c r="D218" s="126"/>
      <c r="E218" s="126"/>
      <c r="F218" s="126"/>
      <c r="G218" s="126"/>
      <c r="H218" s="125"/>
    </row>
    <row r="219" spans="1:8" hidden="1" x14ac:dyDescent="0.3">
      <c r="A219" s="125"/>
      <c r="B219" s="125"/>
      <c r="C219" s="125"/>
      <c r="D219" s="126"/>
      <c r="E219" s="126"/>
      <c r="F219" s="126"/>
      <c r="G219" s="126"/>
      <c r="H219" s="125"/>
    </row>
    <row r="220" spans="1:8" hidden="1" x14ac:dyDescent="0.3">
      <c r="A220" s="125"/>
      <c r="B220" s="125"/>
      <c r="C220" s="125"/>
      <c r="D220" s="126"/>
      <c r="E220" s="126"/>
      <c r="F220" s="126"/>
      <c r="G220" s="126"/>
      <c r="H220" s="125"/>
    </row>
    <row r="221" spans="1:8" hidden="1" x14ac:dyDescent="0.3">
      <c r="A221" s="125"/>
      <c r="B221" s="125"/>
      <c r="C221" s="125"/>
      <c r="D221" s="126"/>
      <c r="E221" s="126"/>
      <c r="F221" s="126"/>
      <c r="G221" s="126"/>
      <c r="H221" s="125"/>
    </row>
    <row r="222" spans="1:8" hidden="1" x14ac:dyDescent="0.3">
      <c r="A222" s="125"/>
      <c r="B222" s="125"/>
      <c r="C222" s="125"/>
      <c r="D222" s="126"/>
      <c r="E222" s="126"/>
      <c r="F222" s="126"/>
      <c r="G222" s="126"/>
      <c r="H222" s="125"/>
    </row>
    <row r="223" spans="1:8" hidden="1" x14ac:dyDescent="0.3">
      <c r="A223" s="125"/>
      <c r="B223" s="125"/>
      <c r="C223" s="125"/>
      <c r="D223" s="126"/>
      <c r="E223" s="126"/>
      <c r="F223" s="126"/>
      <c r="G223" s="126"/>
      <c r="H223" s="125"/>
    </row>
    <row r="224" spans="1:8" hidden="1" x14ac:dyDescent="0.3">
      <c r="A224" s="125"/>
      <c r="B224" s="125"/>
      <c r="C224" s="125"/>
      <c r="D224" s="126"/>
      <c r="E224" s="126"/>
      <c r="F224" s="126"/>
      <c r="G224" s="126"/>
      <c r="H224" s="125"/>
    </row>
    <row r="225" spans="1:8" hidden="1" x14ac:dyDescent="0.3">
      <c r="A225" s="125"/>
      <c r="B225" s="125"/>
      <c r="C225" s="125"/>
      <c r="D225" s="126"/>
      <c r="E225" s="126"/>
      <c r="F225" s="126"/>
      <c r="G225" s="126"/>
      <c r="H225" s="125"/>
    </row>
    <row r="226" spans="1:8" hidden="1" x14ac:dyDescent="0.3">
      <c r="A226" s="125"/>
      <c r="B226" s="125"/>
      <c r="C226" s="125"/>
      <c r="D226" s="126"/>
      <c r="E226" s="126"/>
      <c r="F226" s="126"/>
      <c r="G226" s="126"/>
      <c r="H226" s="125"/>
    </row>
    <row r="227" spans="1:8" hidden="1" x14ac:dyDescent="0.3">
      <c r="A227" s="125"/>
      <c r="B227" s="125"/>
      <c r="C227" s="125"/>
      <c r="D227" s="126"/>
      <c r="E227" s="126"/>
      <c r="F227" s="126"/>
      <c r="G227" s="126"/>
      <c r="H227" s="125"/>
    </row>
    <row r="228" spans="1:8" hidden="1" x14ac:dyDescent="0.3">
      <c r="A228" s="125"/>
      <c r="B228" s="125"/>
      <c r="C228" s="125"/>
      <c r="D228" s="126"/>
      <c r="E228" s="126"/>
      <c r="F228" s="126"/>
      <c r="G228" s="126"/>
      <c r="H228" s="125"/>
    </row>
    <row r="229" spans="1:8" hidden="1" x14ac:dyDescent="0.3">
      <c r="A229" s="125"/>
      <c r="B229" s="125"/>
      <c r="C229" s="125"/>
      <c r="D229" s="126"/>
      <c r="E229" s="126"/>
      <c r="F229" s="126"/>
      <c r="G229" s="126"/>
      <c r="H229" s="125"/>
    </row>
    <row r="230" spans="1:8" hidden="1" x14ac:dyDescent="0.3">
      <c r="A230" s="125"/>
      <c r="B230" s="125"/>
      <c r="C230" s="125"/>
      <c r="D230" s="126"/>
      <c r="E230" s="126"/>
      <c r="F230" s="126"/>
      <c r="G230" s="126"/>
      <c r="H230" s="125"/>
    </row>
    <row r="231" spans="1:8" hidden="1" x14ac:dyDescent="0.3">
      <c r="A231" s="125"/>
      <c r="B231" s="125"/>
      <c r="C231" s="125"/>
      <c r="D231" s="126"/>
      <c r="E231" s="126"/>
      <c r="F231" s="126"/>
      <c r="G231" s="126"/>
      <c r="H231" s="125"/>
    </row>
    <row r="232" spans="1:8" hidden="1" x14ac:dyDescent="0.3">
      <c r="A232" s="125"/>
      <c r="B232" s="125"/>
      <c r="C232" s="125"/>
      <c r="D232" s="126"/>
      <c r="E232" s="126"/>
      <c r="F232" s="126"/>
      <c r="G232" s="126"/>
      <c r="H232" s="125"/>
    </row>
    <row r="233" spans="1:8" hidden="1" x14ac:dyDescent="0.3">
      <c r="A233" s="125"/>
      <c r="B233" s="125"/>
      <c r="C233" s="125"/>
      <c r="D233" s="126"/>
      <c r="E233" s="126"/>
      <c r="F233" s="126"/>
      <c r="G233" s="126"/>
      <c r="H233" s="125"/>
    </row>
    <row r="234" spans="1:8" hidden="1" x14ac:dyDescent="0.3">
      <c r="A234" s="125"/>
      <c r="B234" s="125"/>
      <c r="C234" s="125"/>
      <c r="D234" s="126"/>
      <c r="E234" s="126"/>
      <c r="F234" s="126"/>
      <c r="G234" s="126"/>
      <c r="H234" s="125"/>
    </row>
    <row r="235" spans="1:8" hidden="1" x14ac:dyDescent="0.3">
      <c r="A235" s="125"/>
      <c r="B235" s="125"/>
      <c r="C235" s="125"/>
      <c r="D235" s="126"/>
      <c r="E235" s="126"/>
      <c r="F235" s="126"/>
      <c r="G235" s="126"/>
      <c r="H235" s="125"/>
    </row>
    <row r="236" spans="1:8" hidden="1" x14ac:dyDescent="0.3">
      <c r="A236" s="125"/>
      <c r="B236" s="125"/>
      <c r="C236" s="125"/>
      <c r="D236" s="126"/>
      <c r="E236" s="126"/>
      <c r="F236" s="126"/>
      <c r="G236" s="126"/>
      <c r="H236" s="125"/>
    </row>
    <row r="237" spans="1:8" hidden="1" x14ac:dyDescent="0.3">
      <c r="A237" s="125"/>
      <c r="B237" s="125"/>
      <c r="C237" s="125"/>
      <c r="D237" s="126"/>
      <c r="E237" s="126"/>
      <c r="F237" s="126"/>
      <c r="G237" s="126"/>
      <c r="H237" s="125"/>
    </row>
    <row r="238" spans="1:8" hidden="1" x14ac:dyDescent="0.3">
      <c r="A238" s="125"/>
      <c r="B238" s="125"/>
      <c r="C238" s="125"/>
      <c r="D238" s="126"/>
      <c r="E238" s="126"/>
      <c r="F238" s="126"/>
      <c r="G238" s="126"/>
      <c r="H238" s="125"/>
    </row>
    <row r="239" spans="1:8" hidden="1" x14ac:dyDescent="0.3">
      <c r="A239" s="125"/>
      <c r="B239" s="125"/>
      <c r="C239" s="125"/>
      <c r="D239" s="126"/>
      <c r="E239" s="126"/>
      <c r="F239" s="126"/>
      <c r="G239" s="126"/>
      <c r="H239" s="125"/>
    </row>
    <row r="240" spans="1:8" hidden="1" x14ac:dyDescent="0.3">
      <c r="A240" s="125"/>
      <c r="B240" s="125"/>
      <c r="C240" s="125"/>
      <c r="D240" s="126"/>
      <c r="E240" s="126"/>
      <c r="F240" s="126"/>
      <c r="G240" s="126"/>
      <c r="H240" s="125"/>
    </row>
    <row r="241" spans="1:8" hidden="1" x14ac:dyDescent="0.3">
      <c r="A241" s="125"/>
      <c r="B241" s="125"/>
      <c r="C241" s="125"/>
      <c r="D241" s="126"/>
      <c r="E241" s="126"/>
      <c r="F241" s="126"/>
      <c r="G241" s="126"/>
      <c r="H241" s="125"/>
    </row>
    <row r="242" spans="1:8" hidden="1" x14ac:dyDescent="0.3">
      <c r="A242" s="125"/>
      <c r="B242" s="125"/>
      <c r="C242" s="125"/>
      <c r="D242" s="126"/>
      <c r="E242" s="126"/>
      <c r="F242" s="126"/>
      <c r="G242" s="126"/>
      <c r="H242" s="125"/>
    </row>
    <row r="243" spans="1:8" hidden="1" x14ac:dyDescent="0.3">
      <c r="A243" s="125"/>
      <c r="B243" s="125"/>
      <c r="C243" s="125"/>
      <c r="D243" s="126"/>
      <c r="E243" s="126"/>
      <c r="F243" s="126"/>
      <c r="G243" s="126"/>
      <c r="H243" s="125"/>
    </row>
    <row r="244" spans="1:8" hidden="1" x14ac:dyDescent="0.3">
      <c r="A244" s="125"/>
      <c r="B244" s="125"/>
      <c r="C244" s="125"/>
      <c r="D244" s="126"/>
      <c r="E244" s="126"/>
      <c r="F244" s="126"/>
      <c r="G244" s="126"/>
      <c r="H244" s="125"/>
    </row>
    <row r="245" spans="1:8" hidden="1" x14ac:dyDescent="0.3">
      <c r="A245" s="125"/>
      <c r="B245" s="125"/>
      <c r="C245" s="125"/>
      <c r="D245" s="126"/>
      <c r="E245" s="126"/>
      <c r="F245" s="126"/>
      <c r="G245" s="126"/>
      <c r="H245" s="125"/>
    </row>
    <row r="246" spans="1:8" hidden="1" x14ac:dyDescent="0.3">
      <c r="A246" s="125"/>
      <c r="B246" s="125"/>
      <c r="C246" s="125"/>
      <c r="D246" s="126"/>
      <c r="E246" s="126"/>
      <c r="F246" s="126"/>
      <c r="G246" s="126"/>
      <c r="H246" s="125"/>
    </row>
    <row r="247" spans="1:8" hidden="1" x14ac:dyDescent="0.3">
      <c r="A247" s="125"/>
      <c r="B247" s="125"/>
      <c r="C247" s="125"/>
      <c r="D247" s="126"/>
      <c r="E247" s="126"/>
      <c r="F247" s="126"/>
      <c r="G247" s="126"/>
      <c r="H247" s="125"/>
    </row>
    <row r="248" spans="1:8" hidden="1" x14ac:dyDescent="0.3">
      <c r="A248" s="125"/>
      <c r="B248" s="125"/>
      <c r="C248" s="125"/>
      <c r="D248" s="126"/>
      <c r="E248" s="126"/>
      <c r="F248" s="126"/>
      <c r="G248" s="126"/>
      <c r="H248" s="125"/>
    </row>
    <row r="249" spans="1:8" hidden="1" x14ac:dyDescent="0.3">
      <c r="A249" s="125"/>
      <c r="B249" s="125"/>
      <c r="C249" s="125"/>
      <c r="D249" s="126"/>
      <c r="E249" s="126"/>
      <c r="F249" s="126"/>
      <c r="G249" s="126"/>
      <c r="H249" s="125"/>
    </row>
    <row r="250" spans="1:8" hidden="1" x14ac:dyDescent="0.3">
      <c r="A250" s="125"/>
      <c r="B250" s="125"/>
      <c r="C250" s="125"/>
      <c r="D250" s="126"/>
      <c r="E250" s="126"/>
      <c r="F250" s="126"/>
      <c r="G250" s="126"/>
      <c r="H250" s="125"/>
    </row>
    <row r="251" spans="1:8" hidden="1" x14ac:dyDescent="0.3">
      <c r="A251" s="130"/>
      <c r="B251" s="131"/>
      <c r="C251" s="131"/>
      <c r="D251" s="132"/>
      <c r="E251" s="132"/>
      <c r="F251" s="132"/>
      <c r="G251" s="132"/>
      <c r="H251" s="131"/>
    </row>
    <row r="252" spans="1:8" hidden="1" x14ac:dyDescent="0.3">
      <c r="A252" s="130"/>
      <c r="B252" s="131"/>
      <c r="C252" s="131"/>
      <c r="D252" s="132"/>
      <c r="E252" s="132"/>
      <c r="F252" s="132"/>
      <c r="G252" s="132"/>
      <c r="H252" s="131"/>
    </row>
    <row r="253" spans="1:8" hidden="1" x14ac:dyDescent="0.3">
      <c r="A253" s="130"/>
      <c r="B253" s="131"/>
      <c r="C253" s="131"/>
      <c r="D253" s="132"/>
      <c r="E253" s="132"/>
      <c r="F253" s="132"/>
      <c r="G253" s="132"/>
      <c r="H253" s="131"/>
    </row>
    <row r="254" spans="1:8" hidden="1" x14ac:dyDescent="0.3">
      <c r="A254" s="130"/>
      <c r="B254" s="131"/>
      <c r="C254" s="131"/>
      <c r="D254" s="132"/>
      <c r="E254" s="132"/>
      <c r="F254" s="132"/>
      <c r="G254" s="132"/>
      <c r="H254" s="131"/>
    </row>
    <row r="255" spans="1:8" hidden="1" x14ac:dyDescent="0.3">
      <c r="A255" s="130"/>
      <c r="B255" s="131"/>
      <c r="C255" s="131"/>
      <c r="D255" s="132"/>
      <c r="E255" s="132"/>
      <c r="F255" s="132"/>
      <c r="G255" s="132"/>
      <c r="H255" s="131"/>
    </row>
    <row r="256" spans="1:8" hidden="1" x14ac:dyDescent="0.3">
      <c r="A256" s="130"/>
      <c r="B256" s="131"/>
      <c r="C256" s="131"/>
      <c r="D256" s="132"/>
      <c r="E256" s="132"/>
      <c r="F256" s="132"/>
      <c r="G256" s="132"/>
      <c r="H256" s="131"/>
    </row>
    <row r="257" spans="1:8" hidden="1" x14ac:dyDescent="0.3">
      <c r="A257" s="130"/>
      <c r="B257" s="131"/>
      <c r="C257" s="131"/>
      <c r="D257" s="132"/>
      <c r="E257" s="132"/>
      <c r="F257" s="132"/>
      <c r="G257" s="132"/>
      <c r="H257" s="131"/>
    </row>
    <row r="258" spans="1:8" hidden="1" x14ac:dyDescent="0.3">
      <c r="A258" s="130"/>
      <c r="B258" s="131"/>
      <c r="C258" s="131"/>
      <c r="D258" s="132"/>
      <c r="E258" s="132"/>
      <c r="F258" s="132"/>
      <c r="G258" s="132"/>
      <c r="H258" s="131"/>
    </row>
    <row r="259" spans="1:8" hidden="1" x14ac:dyDescent="0.3">
      <c r="A259" s="130"/>
      <c r="B259" s="131"/>
      <c r="C259" s="131"/>
      <c r="D259" s="132"/>
      <c r="E259" s="132"/>
      <c r="F259" s="132"/>
      <c r="G259" s="132"/>
      <c r="H259" s="131"/>
    </row>
    <row r="260" spans="1:8" hidden="1" x14ac:dyDescent="0.3">
      <c r="A260" s="130"/>
      <c r="B260" s="131"/>
      <c r="C260" s="131"/>
      <c r="D260" s="132"/>
      <c r="E260" s="132"/>
      <c r="F260" s="132"/>
      <c r="G260" s="132"/>
      <c r="H260" s="131"/>
    </row>
    <row r="261" spans="1:8" hidden="1" x14ac:dyDescent="0.3">
      <c r="A261" s="130"/>
      <c r="B261" s="131"/>
      <c r="C261" s="131"/>
      <c r="D261" s="132"/>
      <c r="E261" s="132"/>
      <c r="F261" s="132"/>
      <c r="G261" s="132"/>
      <c r="H261" s="131"/>
    </row>
    <row r="262" spans="1:8" hidden="1" x14ac:dyDescent="0.3">
      <c r="A262" s="130"/>
      <c r="B262" s="131"/>
      <c r="C262" s="131"/>
      <c r="D262" s="132"/>
      <c r="E262" s="132"/>
      <c r="F262" s="132"/>
      <c r="G262" s="132"/>
      <c r="H262" s="131"/>
    </row>
    <row r="263" spans="1:8" hidden="1" x14ac:dyDescent="0.3">
      <c r="A263" s="130"/>
      <c r="B263" s="131"/>
      <c r="C263" s="131"/>
      <c r="D263" s="132"/>
      <c r="E263" s="132"/>
      <c r="F263" s="132"/>
      <c r="G263" s="132"/>
      <c r="H263" s="131"/>
    </row>
    <row r="264" spans="1:8" hidden="1" x14ac:dyDescent="0.3">
      <c r="A264" s="130"/>
      <c r="B264" s="131"/>
      <c r="C264" s="131"/>
      <c r="D264" s="132"/>
      <c r="E264" s="132"/>
      <c r="F264" s="132"/>
      <c r="G264" s="132"/>
      <c r="H264" s="131"/>
    </row>
    <row r="265" spans="1:8" hidden="1" x14ac:dyDescent="0.3">
      <c r="A265" s="130"/>
      <c r="B265" s="131"/>
      <c r="C265" s="131"/>
      <c r="D265" s="132"/>
      <c r="E265" s="132"/>
      <c r="F265" s="132"/>
      <c r="G265" s="132"/>
      <c r="H265" s="131"/>
    </row>
    <row r="266" spans="1:8" hidden="1" x14ac:dyDescent="0.3">
      <c r="A266" s="130"/>
      <c r="B266" s="131"/>
      <c r="C266" s="131"/>
      <c r="D266" s="132"/>
      <c r="E266" s="132"/>
      <c r="F266" s="132"/>
      <c r="G266" s="132"/>
      <c r="H266" s="131"/>
    </row>
    <row r="267" spans="1:8" hidden="1" x14ac:dyDescent="0.3">
      <c r="A267" s="130"/>
      <c r="B267" s="131"/>
      <c r="C267" s="131"/>
      <c r="D267" s="132"/>
      <c r="E267" s="132"/>
      <c r="F267" s="132"/>
      <c r="G267" s="132"/>
      <c r="H267" s="131"/>
    </row>
    <row r="268" spans="1:8" hidden="1" x14ac:dyDescent="0.3">
      <c r="A268" s="130"/>
      <c r="B268" s="131"/>
      <c r="C268" s="131"/>
      <c r="D268" s="132"/>
      <c r="E268" s="132"/>
      <c r="F268" s="132"/>
      <c r="G268" s="132"/>
      <c r="H268" s="131"/>
    </row>
    <row r="269" spans="1:8" hidden="1" x14ac:dyDescent="0.3">
      <c r="A269" s="130"/>
      <c r="B269" s="131"/>
      <c r="C269" s="131"/>
      <c r="D269" s="132"/>
      <c r="E269" s="132"/>
      <c r="F269" s="132"/>
      <c r="G269" s="132"/>
      <c r="H269" s="131"/>
    </row>
    <row r="270" spans="1:8" hidden="1" x14ac:dyDescent="0.3">
      <c r="A270" s="130"/>
      <c r="B270" s="131"/>
      <c r="C270" s="131"/>
      <c r="D270" s="132"/>
      <c r="E270" s="132"/>
      <c r="F270" s="132"/>
      <c r="G270" s="132"/>
      <c r="H270" s="131"/>
    </row>
    <row r="271" spans="1:8" hidden="1" x14ac:dyDescent="0.3">
      <c r="A271" s="130"/>
      <c r="B271" s="131"/>
      <c r="C271" s="131"/>
      <c r="D271" s="132"/>
      <c r="E271" s="132"/>
      <c r="F271" s="132"/>
      <c r="G271" s="132"/>
      <c r="H271" s="131"/>
    </row>
    <row r="272" spans="1:8" hidden="1" x14ac:dyDescent="0.3">
      <c r="A272" s="130"/>
      <c r="B272" s="131"/>
      <c r="C272" s="131"/>
      <c r="D272" s="132"/>
      <c r="E272" s="132"/>
      <c r="F272" s="132"/>
      <c r="G272" s="132"/>
      <c r="H272" s="131"/>
    </row>
    <row r="273" spans="1:8" hidden="1" x14ac:dyDescent="0.3">
      <c r="A273" s="130"/>
      <c r="B273" s="131"/>
      <c r="C273" s="131"/>
      <c r="D273" s="132"/>
      <c r="E273" s="132"/>
      <c r="F273" s="132"/>
      <c r="G273" s="132"/>
      <c r="H273" s="131"/>
    </row>
    <row r="274" spans="1:8" hidden="1" x14ac:dyDescent="0.3">
      <c r="A274" s="130"/>
      <c r="B274" s="131"/>
      <c r="C274" s="131"/>
      <c r="D274" s="132"/>
      <c r="E274" s="132"/>
      <c r="F274" s="132"/>
      <c r="G274" s="132"/>
      <c r="H274" s="131"/>
    </row>
    <row r="275" spans="1:8" hidden="1" x14ac:dyDescent="0.3">
      <c r="A275" s="130"/>
      <c r="B275" s="131"/>
      <c r="C275" s="131"/>
      <c r="D275" s="132"/>
      <c r="E275" s="132"/>
      <c r="F275" s="132"/>
      <c r="G275" s="132"/>
      <c r="H275" s="131"/>
    </row>
    <row r="276" spans="1:8" hidden="1" x14ac:dyDescent="0.3">
      <c r="A276" s="130"/>
      <c r="B276" s="131"/>
      <c r="C276" s="131"/>
      <c r="D276" s="132"/>
      <c r="E276" s="132"/>
      <c r="F276" s="132"/>
      <c r="G276" s="132"/>
      <c r="H276" s="131"/>
    </row>
    <row r="277" spans="1:8" hidden="1" x14ac:dyDescent="0.3">
      <c r="A277" s="130"/>
      <c r="B277" s="131"/>
      <c r="C277" s="131"/>
      <c r="D277" s="132"/>
      <c r="E277" s="132"/>
      <c r="F277" s="132"/>
      <c r="G277" s="132"/>
      <c r="H277" s="131"/>
    </row>
    <row r="278" spans="1:8" hidden="1" x14ac:dyDescent="0.3">
      <c r="A278" s="130"/>
      <c r="B278" s="131"/>
      <c r="C278" s="131"/>
      <c r="D278" s="132"/>
      <c r="E278" s="132"/>
      <c r="F278" s="132"/>
      <c r="G278" s="132"/>
      <c r="H278" s="131"/>
    </row>
    <row r="279" spans="1:8" hidden="1" x14ac:dyDescent="0.3">
      <c r="A279" s="130"/>
      <c r="B279" s="131"/>
      <c r="C279" s="131"/>
      <c r="D279" s="132"/>
      <c r="E279" s="132"/>
      <c r="F279" s="132"/>
      <c r="G279" s="132"/>
      <c r="H279" s="131"/>
    </row>
    <row r="280" spans="1:8" hidden="1" x14ac:dyDescent="0.3">
      <c r="A280" s="130"/>
      <c r="B280" s="131"/>
      <c r="C280" s="131"/>
      <c r="D280" s="132"/>
      <c r="E280" s="132"/>
      <c r="F280" s="132"/>
      <c r="G280" s="132"/>
      <c r="H280" s="131"/>
    </row>
    <row r="281" spans="1:8" hidden="1" x14ac:dyDescent="0.3">
      <c r="A281" s="130"/>
      <c r="B281" s="131"/>
      <c r="C281" s="131"/>
      <c r="D281" s="132"/>
      <c r="E281" s="132"/>
      <c r="F281" s="132"/>
      <c r="G281" s="132"/>
      <c r="H281" s="131"/>
    </row>
    <row r="282" spans="1:8" hidden="1" x14ac:dyDescent="0.3">
      <c r="A282" s="130"/>
      <c r="B282" s="131"/>
      <c r="C282" s="131"/>
      <c r="D282" s="132"/>
      <c r="E282" s="132"/>
      <c r="F282" s="132"/>
      <c r="G282" s="132"/>
      <c r="H282" s="131"/>
    </row>
    <row r="283" spans="1:8" hidden="1" x14ac:dyDescent="0.3">
      <c r="A283" s="130"/>
      <c r="B283" s="131"/>
      <c r="C283" s="131"/>
      <c r="D283" s="132"/>
      <c r="E283" s="132"/>
      <c r="F283" s="132"/>
      <c r="G283" s="132"/>
      <c r="H283" s="131"/>
    </row>
    <row r="284" spans="1:8" hidden="1" x14ac:dyDescent="0.3">
      <c r="A284" s="130"/>
      <c r="B284" s="131"/>
      <c r="C284" s="131"/>
      <c r="D284" s="132"/>
      <c r="E284" s="132"/>
      <c r="F284" s="132"/>
      <c r="G284" s="132"/>
      <c r="H284" s="131"/>
    </row>
    <row r="285" spans="1:8" hidden="1" x14ac:dyDescent="0.3">
      <c r="A285" s="130"/>
      <c r="B285" s="131"/>
      <c r="C285" s="131"/>
      <c r="D285" s="132"/>
      <c r="E285" s="132"/>
      <c r="F285" s="132"/>
      <c r="G285" s="132"/>
      <c r="H285" s="131"/>
    </row>
    <row r="286" spans="1:8" hidden="1" x14ac:dyDescent="0.3">
      <c r="A286" s="130"/>
      <c r="B286" s="131"/>
      <c r="C286" s="131"/>
      <c r="D286" s="132"/>
      <c r="E286" s="132"/>
      <c r="F286" s="132"/>
      <c r="G286" s="132"/>
      <c r="H286" s="131"/>
    </row>
    <row r="287" spans="1:8" hidden="1" x14ac:dyDescent="0.3">
      <c r="A287" s="130"/>
      <c r="B287" s="131"/>
      <c r="C287" s="131"/>
      <c r="D287" s="132"/>
      <c r="E287" s="132"/>
      <c r="F287" s="132"/>
      <c r="G287" s="132"/>
      <c r="H287" s="131"/>
    </row>
    <row r="288" spans="1:8" hidden="1" x14ac:dyDescent="0.3">
      <c r="A288" s="130"/>
      <c r="B288" s="131"/>
      <c r="C288" s="131"/>
      <c r="D288" s="132"/>
      <c r="E288" s="132"/>
      <c r="F288" s="132"/>
      <c r="G288" s="132"/>
      <c r="H288" s="131"/>
    </row>
    <row r="289" spans="1:8" hidden="1" x14ac:dyDescent="0.3">
      <c r="A289" s="130"/>
      <c r="B289" s="131"/>
      <c r="C289" s="131"/>
      <c r="D289" s="132"/>
      <c r="E289" s="132"/>
      <c r="F289" s="132"/>
      <c r="G289" s="132"/>
      <c r="H289" s="131"/>
    </row>
    <row r="290" spans="1:8" hidden="1" x14ac:dyDescent="0.3">
      <c r="A290" s="130"/>
      <c r="B290" s="131"/>
      <c r="C290" s="131"/>
      <c r="D290" s="132"/>
      <c r="E290" s="132"/>
      <c r="F290" s="132"/>
      <c r="G290" s="132"/>
      <c r="H290" s="131"/>
    </row>
    <row r="291" spans="1:8" hidden="1" x14ac:dyDescent="0.3">
      <c r="A291" s="130"/>
      <c r="B291" s="131"/>
      <c r="C291" s="131"/>
      <c r="D291" s="132"/>
      <c r="E291" s="132"/>
      <c r="F291" s="132"/>
      <c r="G291" s="132"/>
      <c r="H291" s="131"/>
    </row>
    <row r="292" spans="1:8" hidden="1" x14ac:dyDescent="0.3">
      <c r="A292" s="130"/>
      <c r="B292" s="131"/>
      <c r="C292" s="131"/>
      <c r="D292" s="132"/>
      <c r="E292" s="132"/>
      <c r="F292" s="132"/>
      <c r="G292" s="132"/>
      <c r="H292" s="131"/>
    </row>
    <row r="293" spans="1:8" hidden="1" x14ac:dyDescent="0.3">
      <c r="A293" s="130"/>
      <c r="B293" s="131"/>
      <c r="C293" s="131"/>
      <c r="D293" s="132"/>
      <c r="E293" s="132"/>
      <c r="F293" s="132"/>
      <c r="G293" s="132"/>
      <c r="H293" s="131"/>
    </row>
    <row r="294" spans="1:8" hidden="1" x14ac:dyDescent="0.3">
      <c r="A294" s="130"/>
      <c r="B294" s="131"/>
      <c r="C294" s="131"/>
      <c r="D294" s="132"/>
      <c r="E294" s="132"/>
      <c r="F294" s="132"/>
      <c r="G294" s="132"/>
      <c r="H294" s="131"/>
    </row>
    <row r="295" spans="1:8" hidden="1" x14ac:dyDescent="0.3">
      <c r="A295" s="130"/>
      <c r="B295" s="131"/>
      <c r="C295" s="131"/>
      <c r="D295" s="132"/>
      <c r="E295" s="132"/>
      <c r="F295" s="132"/>
      <c r="G295" s="132"/>
      <c r="H295" s="131"/>
    </row>
    <row r="296" spans="1:8" hidden="1" x14ac:dyDescent="0.3">
      <c r="A296" s="130"/>
      <c r="B296" s="131"/>
      <c r="C296" s="131"/>
      <c r="D296" s="132"/>
      <c r="E296" s="132"/>
      <c r="F296" s="132"/>
      <c r="G296" s="132"/>
      <c r="H296" s="131"/>
    </row>
    <row r="297" spans="1:8" hidden="1" x14ac:dyDescent="0.3">
      <c r="A297" s="130"/>
      <c r="B297" s="131"/>
      <c r="C297" s="131"/>
      <c r="D297" s="132"/>
      <c r="E297" s="132"/>
      <c r="F297" s="132"/>
      <c r="G297" s="132"/>
      <c r="H297" s="131"/>
    </row>
    <row r="298" spans="1:8" hidden="1" x14ac:dyDescent="0.3">
      <c r="A298" s="130"/>
      <c r="B298" s="131"/>
      <c r="C298" s="131"/>
      <c r="D298" s="132"/>
      <c r="E298" s="132"/>
      <c r="F298" s="132"/>
      <c r="G298" s="132"/>
      <c r="H298" s="131"/>
    </row>
    <row r="299" spans="1:8" hidden="1" x14ac:dyDescent="0.3">
      <c r="A299" s="130"/>
      <c r="B299" s="131"/>
      <c r="C299" s="131"/>
      <c r="D299" s="132"/>
      <c r="E299" s="132"/>
      <c r="F299" s="132"/>
      <c r="G299" s="132"/>
      <c r="H299" s="131"/>
    </row>
    <row r="300" spans="1:8" hidden="1" x14ac:dyDescent="0.3">
      <c r="A300" s="130"/>
      <c r="B300" s="131"/>
      <c r="C300" s="131"/>
      <c r="D300" s="132"/>
      <c r="E300" s="132"/>
      <c r="F300" s="132"/>
      <c r="G300" s="132"/>
      <c r="H300" s="131"/>
    </row>
    <row r="301" spans="1:8" hidden="1" x14ac:dyDescent="0.3">
      <c r="A301" s="130"/>
      <c r="B301" s="131"/>
      <c r="C301" s="131"/>
      <c r="D301" s="132"/>
      <c r="E301" s="132"/>
      <c r="F301" s="132"/>
      <c r="G301" s="132"/>
      <c r="H301" s="131"/>
    </row>
    <row r="302" spans="1:8" hidden="1" x14ac:dyDescent="0.3">
      <c r="A302" s="130"/>
      <c r="B302" s="131"/>
      <c r="C302" s="131"/>
      <c r="D302" s="132"/>
      <c r="E302" s="132"/>
      <c r="F302" s="132"/>
      <c r="G302" s="132"/>
      <c r="H302" s="131"/>
    </row>
    <row r="303" spans="1:8" hidden="1" x14ac:dyDescent="0.3">
      <c r="A303" s="130"/>
      <c r="B303" s="131"/>
      <c r="C303" s="131"/>
      <c r="D303" s="132"/>
      <c r="E303" s="132"/>
      <c r="F303" s="132"/>
      <c r="G303" s="132"/>
      <c r="H303" s="131"/>
    </row>
    <row r="304" spans="1:8" hidden="1" x14ac:dyDescent="0.3">
      <c r="A304" s="130"/>
      <c r="B304" s="131"/>
      <c r="C304" s="131"/>
      <c r="D304" s="132"/>
      <c r="E304" s="132"/>
      <c r="F304" s="132"/>
      <c r="G304" s="132"/>
      <c r="H304" s="131"/>
    </row>
    <row r="305" spans="1:8" hidden="1" x14ac:dyDescent="0.3">
      <c r="A305" s="130"/>
      <c r="B305" s="131"/>
      <c r="C305" s="131"/>
      <c r="D305" s="132"/>
      <c r="E305" s="132"/>
      <c r="F305" s="132"/>
      <c r="G305" s="132"/>
      <c r="H305" s="131"/>
    </row>
    <row r="306" spans="1:8" hidden="1" x14ac:dyDescent="0.3">
      <c r="A306" s="130"/>
      <c r="B306" s="131"/>
      <c r="C306" s="131"/>
      <c r="D306" s="132"/>
      <c r="E306" s="132"/>
      <c r="F306" s="132"/>
      <c r="G306" s="132"/>
      <c r="H306" s="131"/>
    </row>
    <row r="307" spans="1:8" hidden="1" x14ac:dyDescent="0.3">
      <c r="A307" s="130"/>
      <c r="B307" s="131"/>
      <c r="C307" s="131"/>
      <c r="D307" s="132"/>
      <c r="E307" s="132"/>
      <c r="F307" s="132"/>
      <c r="G307" s="132"/>
      <c r="H307" s="131"/>
    </row>
    <row r="308" spans="1:8" hidden="1" x14ac:dyDescent="0.3">
      <c r="A308" s="130"/>
      <c r="B308" s="131"/>
      <c r="C308" s="131"/>
      <c r="D308" s="132"/>
      <c r="E308" s="132"/>
      <c r="F308" s="132"/>
      <c r="G308" s="132"/>
      <c r="H308" s="131"/>
    </row>
    <row r="309" spans="1:8" hidden="1" x14ac:dyDescent="0.3">
      <c r="A309" s="130"/>
      <c r="B309" s="131"/>
      <c r="C309" s="131"/>
      <c r="D309" s="132"/>
      <c r="E309" s="132"/>
      <c r="F309" s="132"/>
      <c r="G309" s="132"/>
      <c r="H309" s="131"/>
    </row>
    <row r="310" spans="1:8" hidden="1" x14ac:dyDescent="0.3">
      <c r="A310" s="130"/>
      <c r="B310" s="131"/>
      <c r="C310" s="131"/>
      <c r="D310" s="132"/>
      <c r="E310" s="132"/>
      <c r="F310" s="132"/>
      <c r="G310" s="132"/>
      <c r="H310" s="131"/>
    </row>
    <row r="311" spans="1:8" hidden="1" x14ac:dyDescent="0.3">
      <c r="A311" s="130"/>
      <c r="B311" s="131"/>
      <c r="C311" s="131"/>
      <c r="D311" s="132"/>
      <c r="E311" s="132"/>
      <c r="F311" s="132"/>
      <c r="G311" s="132"/>
      <c r="H311" s="131"/>
    </row>
    <row r="312" spans="1:8" hidden="1" x14ac:dyDescent="0.3">
      <c r="A312" s="133"/>
      <c r="B312" s="134"/>
      <c r="C312" s="135"/>
      <c r="D312" s="136"/>
      <c r="E312" s="137"/>
      <c r="F312" s="138"/>
      <c r="G312" s="138"/>
      <c r="H312" s="139"/>
    </row>
    <row r="313" spans="1:8" hidden="1" x14ac:dyDescent="0.3">
      <c r="A313" s="133"/>
      <c r="B313" s="134"/>
      <c r="C313" s="135"/>
      <c r="D313" s="136"/>
      <c r="E313" s="137"/>
      <c r="F313" s="138"/>
      <c r="G313" s="138"/>
      <c r="H313" s="139"/>
    </row>
    <row r="314" spans="1:8" hidden="1" x14ac:dyDescent="0.3">
      <c r="A314" s="133"/>
      <c r="B314" s="134"/>
      <c r="C314" s="135"/>
      <c r="D314" s="136"/>
      <c r="E314" s="137"/>
      <c r="F314" s="138"/>
      <c r="G314" s="138"/>
      <c r="H314" s="139"/>
    </row>
    <row r="315" spans="1:8" hidden="1" x14ac:dyDescent="0.3">
      <c r="A315" s="133"/>
      <c r="B315" s="134"/>
      <c r="C315" s="135"/>
      <c r="D315" s="136"/>
      <c r="E315" s="137"/>
      <c r="F315" s="138"/>
      <c r="G315" s="138"/>
      <c r="H315" s="139"/>
    </row>
    <row r="316" spans="1:8" hidden="1" x14ac:dyDescent="0.3">
      <c r="A316" s="133"/>
      <c r="B316" s="134"/>
      <c r="C316" s="135"/>
      <c r="D316" s="136"/>
      <c r="E316" s="137"/>
      <c r="F316" s="138"/>
      <c r="G316" s="138"/>
      <c r="H316" s="139"/>
    </row>
    <row r="317" spans="1:8" hidden="1" x14ac:dyDescent="0.3">
      <c r="A317" s="133"/>
      <c r="B317" s="134"/>
      <c r="C317" s="135"/>
      <c r="D317" s="136"/>
      <c r="E317" s="137"/>
      <c r="F317" s="138"/>
      <c r="G317" s="138"/>
      <c r="H317" s="139"/>
    </row>
    <row r="318" spans="1:8" hidden="1" x14ac:dyDescent="0.3">
      <c r="A318" s="133"/>
      <c r="B318" s="134"/>
      <c r="C318" s="135"/>
      <c r="D318" s="136"/>
      <c r="E318" s="137"/>
      <c r="F318" s="138"/>
      <c r="G318" s="138"/>
      <c r="H318" s="139"/>
    </row>
    <row r="319" spans="1:8" hidden="1" x14ac:dyDescent="0.3">
      <c r="A319" s="133"/>
      <c r="B319" s="134"/>
      <c r="C319" s="135"/>
      <c r="D319" s="136"/>
      <c r="E319" s="137"/>
      <c r="F319" s="138"/>
      <c r="G319" s="138"/>
      <c r="H319" s="139"/>
    </row>
    <row r="320" spans="1:8" hidden="1" x14ac:dyDescent="0.3">
      <c r="A320" s="133"/>
      <c r="B320" s="134"/>
      <c r="C320" s="135"/>
      <c r="D320" s="136"/>
      <c r="E320" s="137"/>
      <c r="F320" s="138"/>
      <c r="G320" s="138"/>
      <c r="H320" s="139"/>
    </row>
    <row r="321" spans="1:8" hidden="1" x14ac:dyDescent="0.3">
      <c r="A321" s="133"/>
      <c r="B321" s="134"/>
      <c r="C321" s="135"/>
      <c r="D321" s="136"/>
      <c r="E321" s="137"/>
      <c r="F321" s="138"/>
      <c r="G321" s="138"/>
      <c r="H321" s="139"/>
    </row>
    <row r="322" spans="1:8" hidden="1" x14ac:dyDescent="0.3">
      <c r="A322" s="102"/>
      <c r="B322" s="105"/>
      <c r="C322" s="111"/>
      <c r="D322" s="70"/>
      <c r="E322" s="62"/>
      <c r="F322" s="68"/>
      <c r="G322" s="68"/>
      <c r="H322" s="109"/>
    </row>
    <row r="323" spans="1:8" hidden="1" x14ac:dyDescent="0.3">
      <c r="A323" s="102"/>
      <c r="B323" s="105"/>
      <c r="C323" s="111"/>
      <c r="D323" s="70"/>
      <c r="E323" s="62"/>
      <c r="F323" s="68"/>
      <c r="G323" s="68"/>
      <c r="H323" s="109"/>
    </row>
    <row r="324" spans="1:8" hidden="1" x14ac:dyDescent="0.3">
      <c r="A324" s="102"/>
      <c r="B324" s="105"/>
      <c r="C324" s="111"/>
      <c r="D324" s="70"/>
      <c r="E324" s="62"/>
      <c r="F324" s="68"/>
      <c r="G324" s="68"/>
      <c r="H324" s="109"/>
    </row>
    <row r="325" spans="1:8" hidden="1" x14ac:dyDescent="0.3">
      <c r="A325" s="102"/>
      <c r="B325" s="105"/>
      <c r="C325" s="111"/>
      <c r="D325" s="70"/>
      <c r="E325" s="62"/>
      <c r="F325" s="68"/>
      <c r="G325" s="68"/>
      <c r="H325" s="109"/>
    </row>
    <row r="326" spans="1:8" hidden="1" x14ac:dyDescent="0.3">
      <c r="A326" s="102"/>
      <c r="B326" s="105"/>
      <c r="C326" s="111"/>
      <c r="D326" s="70"/>
      <c r="E326" s="62"/>
      <c r="F326" s="68"/>
      <c r="G326" s="68"/>
      <c r="H326" s="109"/>
    </row>
    <row r="327" spans="1:8" hidden="1" x14ac:dyDescent="0.3">
      <c r="A327" s="102"/>
      <c r="B327" s="105"/>
      <c r="C327" s="111"/>
      <c r="D327" s="70"/>
      <c r="E327" s="62"/>
      <c r="F327" s="68"/>
      <c r="G327" s="68"/>
      <c r="H327" s="109"/>
    </row>
    <row r="328" spans="1:8" hidden="1" x14ac:dyDescent="0.3">
      <c r="A328" s="102"/>
      <c r="B328" s="105"/>
      <c r="C328" s="111"/>
      <c r="D328" s="70"/>
      <c r="E328" s="62"/>
      <c r="F328" s="68"/>
      <c r="G328" s="68"/>
      <c r="H328" s="109"/>
    </row>
    <row r="329" spans="1:8" hidden="1" x14ac:dyDescent="0.3">
      <c r="A329" s="102"/>
      <c r="B329" s="105"/>
      <c r="C329" s="111"/>
      <c r="D329" s="70"/>
      <c r="E329" s="62"/>
      <c r="F329" s="68"/>
      <c r="G329" s="68"/>
      <c r="H329" s="109"/>
    </row>
    <row r="330" spans="1:8" hidden="1" x14ac:dyDescent="0.3">
      <c r="A330" s="102"/>
      <c r="B330" s="105"/>
      <c r="C330" s="111"/>
      <c r="D330" s="70"/>
      <c r="E330" s="62"/>
      <c r="F330" s="68"/>
      <c r="G330" s="68"/>
      <c r="H330" s="109"/>
    </row>
    <row r="331" spans="1:8" hidden="1" x14ac:dyDescent="0.3">
      <c r="A331" s="102"/>
      <c r="B331" s="105"/>
      <c r="C331" s="111"/>
      <c r="D331" s="70"/>
      <c r="E331" s="62"/>
      <c r="F331" s="68"/>
      <c r="G331" s="68"/>
      <c r="H331" s="109"/>
    </row>
    <row r="332" spans="1:8" hidden="1" x14ac:dyDescent="0.3">
      <c r="A332" s="102"/>
      <c r="B332" s="105"/>
      <c r="C332" s="111"/>
      <c r="D332" s="70"/>
      <c r="E332" s="62"/>
      <c r="F332" s="68"/>
      <c r="G332" s="68"/>
      <c r="H332" s="109"/>
    </row>
    <row r="333" spans="1:8" hidden="1" x14ac:dyDescent="0.3">
      <c r="A333" s="102"/>
      <c r="B333" s="105"/>
      <c r="C333" s="111"/>
      <c r="D333" s="70"/>
      <c r="E333" s="62"/>
      <c r="F333" s="68"/>
      <c r="G333" s="68"/>
      <c r="H333" s="109"/>
    </row>
    <row r="334" spans="1:8" hidden="1" x14ac:dyDescent="0.3">
      <c r="A334" s="102"/>
      <c r="B334" s="105"/>
      <c r="C334" s="111"/>
      <c r="D334" s="70"/>
      <c r="E334" s="62"/>
      <c r="F334" s="68"/>
      <c r="G334" s="68"/>
      <c r="H334" s="109"/>
    </row>
    <row r="335" spans="1:8" hidden="1" x14ac:dyDescent="0.3">
      <c r="A335" s="102"/>
      <c r="B335" s="105"/>
      <c r="C335" s="111"/>
      <c r="D335" s="70"/>
      <c r="E335" s="62"/>
      <c r="F335" s="68"/>
      <c r="G335" s="68"/>
      <c r="H335" s="109"/>
    </row>
    <row r="336" spans="1:8" hidden="1" x14ac:dyDescent="0.3">
      <c r="A336" s="102"/>
      <c r="B336" s="105"/>
      <c r="C336" s="111"/>
      <c r="D336" s="70"/>
      <c r="E336" s="62"/>
      <c r="F336" s="68"/>
      <c r="G336" s="68"/>
      <c r="H336" s="109"/>
    </row>
    <row r="337" spans="1:8" hidden="1" x14ac:dyDescent="0.3">
      <c r="A337" s="102"/>
      <c r="B337" s="105"/>
      <c r="C337" s="111"/>
      <c r="D337" s="70"/>
      <c r="E337" s="62"/>
      <c r="F337" s="68"/>
      <c r="G337" s="68"/>
      <c r="H337" s="109"/>
    </row>
    <row r="338" spans="1:8" hidden="1" x14ac:dyDescent="0.3">
      <c r="A338" s="102"/>
      <c r="B338" s="105"/>
      <c r="C338" s="111"/>
      <c r="D338" s="70"/>
      <c r="E338" s="62"/>
      <c r="F338" s="68"/>
      <c r="G338" s="68"/>
      <c r="H338" s="109"/>
    </row>
    <row r="339" spans="1:8" hidden="1" x14ac:dyDescent="0.3">
      <c r="A339" s="102"/>
      <c r="B339" s="105"/>
      <c r="C339" s="111"/>
      <c r="D339" s="70"/>
      <c r="E339" s="62"/>
      <c r="F339" s="68"/>
      <c r="G339" s="68"/>
      <c r="H339" s="109"/>
    </row>
    <row r="340" spans="1:8" hidden="1" x14ac:dyDescent="0.3">
      <c r="A340" s="102"/>
      <c r="B340" s="105"/>
      <c r="C340" s="111"/>
      <c r="D340" s="70"/>
      <c r="E340" s="62"/>
      <c r="F340" s="68"/>
      <c r="G340" s="68"/>
      <c r="H340" s="109"/>
    </row>
    <row r="341" spans="1:8" hidden="1" x14ac:dyDescent="0.3">
      <c r="A341" s="102"/>
      <c r="B341" s="105"/>
      <c r="C341" s="111"/>
      <c r="D341" s="70"/>
      <c r="E341" s="62"/>
      <c r="F341" s="68"/>
      <c r="G341" s="68"/>
      <c r="H341" s="109"/>
    </row>
    <row r="342" spans="1:8" hidden="1" x14ac:dyDescent="0.3">
      <c r="A342" s="102"/>
      <c r="B342" s="105"/>
      <c r="C342" s="111"/>
      <c r="D342" s="70"/>
      <c r="E342" s="62"/>
      <c r="F342" s="68"/>
      <c r="G342" s="68"/>
      <c r="H342" s="109"/>
    </row>
    <row r="343" spans="1:8" hidden="1" x14ac:dyDescent="0.3">
      <c r="A343" s="102"/>
      <c r="B343" s="105"/>
      <c r="C343" s="111"/>
      <c r="D343" s="70"/>
      <c r="E343" s="62"/>
      <c r="F343" s="68"/>
      <c r="G343" s="68"/>
      <c r="H343" s="109"/>
    </row>
    <row r="344" spans="1:8" hidden="1" x14ac:dyDescent="0.3">
      <c r="A344" s="102"/>
      <c r="B344" s="105"/>
      <c r="C344" s="111"/>
      <c r="D344" s="70"/>
      <c r="E344" s="62"/>
      <c r="F344" s="68"/>
      <c r="G344" s="68"/>
      <c r="H344" s="109"/>
    </row>
    <row r="345" spans="1:8" hidden="1" x14ac:dyDescent="0.3">
      <c r="A345" s="102"/>
      <c r="B345" s="105"/>
      <c r="C345" s="111"/>
      <c r="D345" s="70"/>
      <c r="E345" s="62"/>
      <c r="F345" s="68"/>
      <c r="G345" s="68"/>
      <c r="H345" s="109"/>
    </row>
    <row r="346" spans="1:8" hidden="1" x14ac:dyDescent="0.3">
      <c r="A346" s="102"/>
      <c r="B346" s="105"/>
      <c r="C346" s="111"/>
      <c r="D346" s="70"/>
      <c r="E346" s="62"/>
      <c r="F346" s="68"/>
      <c r="G346" s="68"/>
      <c r="H346" s="109"/>
    </row>
    <row r="347" spans="1:8" hidden="1" x14ac:dyDescent="0.3">
      <c r="A347" s="102"/>
      <c r="B347" s="105"/>
      <c r="C347" s="111"/>
      <c r="D347" s="70"/>
      <c r="E347" s="62"/>
      <c r="F347" s="68"/>
      <c r="G347" s="68"/>
      <c r="H347" s="109"/>
    </row>
    <row r="348" spans="1:8" hidden="1" x14ac:dyDescent="0.3">
      <c r="A348" s="102"/>
      <c r="B348" s="105"/>
      <c r="C348" s="111"/>
      <c r="D348" s="70"/>
      <c r="E348" s="62"/>
      <c r="F348" s="68"/>
      <c r="G348" s="68"/>
      <c r="H348" s="109"/>
    </row>
    <row r="349" spans="1:8" hidden="1" x14ac:dyDescent="0.3">
      <c r="A349" s="102"/>
      <c r="B349" s="105"/>
      <c r="C349" s="111"/>
      <c r="D349" s="70"/>
      <c r="E349" s="62"/>
      <c r="F349" s="68"/>
      <c r="G349" s="68"/>
      <c r="H349" s="109"/>
    </row>
    <row r="350" spans="1:8" hidden="1" x14ac:dyDescent="0.3">
      <c r="A350" s="102"/>
      <c r="B350" s="105"/>
      <c r="C350" s="111"/>
      <c r="D350" s="70"/>
      <c r="E350" s="62"/>
      <c r="F350" s="68"/>
      <c r="G350" s="68"/>
      <c r="H350" s="109"/>
    </row>
    <row r="351" spans="1:8" hidden="1" x14ac:dyDescent="0.3">
      <c r="A351" s="102"/>
      <c r="B351" s="105"/>
      <c r="C351" s="111"/>
      <c r="D351" s="70"/>
      <c r="E351" s="62"/>
      <c r="F351" s="68"/>
      <c r="G351" s="68"/>
      <c r="H351" s="109"/>
    </row>
    <row r="352" spans="1:8" hidden="1" x14ac:dyDescent="0.3">
      <c r="A352" s="102"/>
      <c r="B352" s="105"/>
      <c r="C352" s="111"/>
      <c r="D352" s="70"/>
      <c r="E352" s="62"/>
      <c r="F352" s="68"/>
      <c r="G352" s="68"/>
      <c r="H352" s="109"/>
    </row>
    <row r="353" spans="1:8" hidden="1" x14ac:dyDescent="0.3">
      <c r="A353" s="102"/>
      <c r="B353" s="105"/>
      <c r="C353" s="111"/>
      <c r="D353" s="70"/>
      <c r="E353" s="62"/>
      <c r="F353" s="68"/>
      <c r="G353" s="68"/>
      <c r="H353" s="109"/>
    </row>
    <row r="354" spans="1:8" hidden="1" x14ac:dyDescent="0.3">
      <c r="A354" s="102"/>
      <c r="B354" s="105"/>
      <c r="C354" s="111"/>
      <c r="D354" s="70"/>
      <c r="E354" s="62"/>
      <c r="F354" s="68"/>
      <c r="G354" s="68"/>
      <c r="H354" s="109"/>
    </row>
    <row r="355" spans="1:8" hidden="1" x14ac:dyDescent="0.3">
      <c r="A355" s="102"/>
      <c r="B355" s="105"/>
      <c r="C355" s="111"/>
      <c r="D355" s="70"/>
      <c r="E355" s="62"/>
      <c r="F355" s="68"/>
      <c r="G355" s="68"/>
      <c r="H355" s="109"/>
    </row>
    <row r="356" spans="1:8" hidden="1" x14ac:dyDescent="0.3">
      <c r="A356" s="102"/>
      <c r="B356" s="105"/>
      <c r="C356" s="111"/>
      <c r="D356" s="70"/>
      <c r="E356" s="62"/>
      <c r="F356" s="68"/>
      <c r="G356" s="68"/>
      <c r="H356" s="109"/>
    </row>
    <row r="357" spans="1:8" hidden="1" x14ac:dyDescent="0.3">
      <c r="A357" s="102"/>
      <c r="B357" s="105"/>
      <c r="C357" s="111"/>
      <c r="D357" s="70"/>
      <c r="E357" s="62"/>
      <c r="F357" s="68"/>
      <c r="G357" s="68"/>
      <c r="H357" s="109"/>
    </row>
    <row r="358" spans="1:8" hidden="1" x14ac:dyDescent="0.3">
      <c r="A358" s="102"/>
      <c r="B358" s="105"/>
      <c r="C358" s="111"/>
      <c r="D358" s="70"/>
      <c r="E358" s="62"/>
      <c r="F358" s="68"/>
      <c r="G358" s="68"/>
      <c r="H358" s="109"/>
    </row>
    <row r="359" spans="1:8" hidden="1" x14ac:dyDescent="0.3">
      <c r="A359" s="102"/>
      <c r="B359" s="105"/>
      <c r="C359" s="111"/>
      <c r="D359" s="70"/>
      <c r="E359" s="62"/>
      <c r="F359" s="68"/>
      <c r="G359" s="68"/>
      <c r="H359" s="109"/>
    </row>
    <row r="360" spans="1:8" hidden="1" x14ac:dyDescent="0.3">
      <c r="A360" s="102"/>
      <c r="B360" s="105"/>
      <c r="C360" s="111"/>
      <c r="D360" s="70"/>
      <c r="E360" s="62"/>
      <c r="F360" s="68"/>
      <c r="G360" s="68"/>
      <c r="H360" s="109"/>
    </row>
    <row r="361" spans="1:8" hidden="1" x14ac:dyDescent="0.3">
      <c r="A361" s="102"/>
      <c r="B361" s="105"/>
      <c r="C361" s="111"/>
      <c r="D361" s="70"/>
      <c r="E361" s="62"/>
      <c r="F361" s="68"/>
      <c r="G361" s="68"/>
      <c r="H361" s="109"/>
    </row>
    <row r="362" spans="1:8" hidden="1" x14ac:dyDescent="0.3">
      <c r="A362" s="102"/>
      <c r="B362" s="105"/>
      <c r="C362" s="111"/>
      <c r="D362" s="70"/>
      <c r="E362" s="62"/>
      <c r="F362" s="68"/>
      <c r="G362" s="68"/>
      <c r="H362" s="109"/>
    </row>
    <row r="363" spans="1:8" hidden="1" x14ac:dyDescent="0.3">
      <c r="A363" s="102"/>
      <c r="B363" s="105"/>
      <c r="C363" s="111"/>
      <c r="D363" s="70"/>
      <c r="E363" s="62"/>
      <c r="F363" s="68"/>
      <c r="G363" s="68"/>
      <c r="H363" s="109"/>
    </row>
    <row r="364" spans="1:8" hidden="1" x14ac:dyDescent="0.3">
      <c r="A364" s="102"/>
      <c r="B364" s="105"/>
      <c r="C364" s="111"/>
      <c r="D364" s="70"/>
      <c r="E364" s="62"/>
      <c r="F364" s="68"/>
      <c r="G364" s="68"/>
      <c r="H364" s="109"/>
    </row>
    <row r="365" spans="1:8" hidden="1" x14ac:dyDescent="0.3">
      <c r="A365" s="102"/>
      <c r="B365" s="105"/>
      <c r="C365" s="111"/>
      <c r="D365" s="70"/>
      <c r="E365" s="62"/>
      <c r="F365" s="68"/>
      <c r="G365" s="68"/>
      <c r="H365" s="109"/>
    </row>
    <row r="366" spans="1:8" hidden="1" x14ac:dyDescent="0.3">
      <c r="A366" s="102"/>
      <c r="B366" s="105"/>
      <c r="C366" s="111"/>
      <c r="D366" s="70"/>
      <c r="E366" s="62"/>
      <c r="F366" s="68"/>
      <c r="G366" s="68"/>
      <c r="H366" s="109"/>
    </row>
    <row r="367" spans="1:8" hidden="1" x14ac:dyDescent="0.3">
      <c r="A367" s="102"/>
      <c r="B367" s="105"/>
      <c r="C367" s="111"/>
      <c r="D367" s="70"/>
      <c r="E367" s="62"/>
      <c r="F367" s="68"/>
      <c r="G367" s="68"/>
      <c r="H367" s="109"/>
    </row>
    <row r="368" spans="1:8" hidden="1" x14ac:dyDescent="0.3">
      <c r="A368" s="102"/>
      <c r="B368" s="105"/>
      <c r="C368" s="111"/>
      <c r="D368" s="70"/>
      <c r="E368" s="62"/>
      <c r="F368" s="68"/>
      <c r="G368" s="68"/>
      <c r="H368" s="109"/>
    </row>
    <row r="369" spans="1:8" hidden="1" x14ac:dyDescent="0.3">
      <c r="A369" s="102"/>
      <c r="B369" s="105"/>
      <c r="C369" s="111"/>
      <c r="D369" s="70"/>
      <c r="E369" s="62"/>
      <c r="F369" s="68"/>
      <c r="G369" s="68"/>
      <c r="H369" s="109"/>
    </row>
    <row r="370" spans="1:8" hidden="1" x14ac:dyDescent="0.3">
      <c r="A370" s="102"/>
      <c r="B370" s="105"/>
      <c r="C370" s="111"/>
      <c r="D370" s="70"/>
      <c r="E370" s="62"/>
      <c r="F370" s="68"/>
      <c r="G370" s="68"/>
      <c r="H370" s="109"/>
    </row>
    <row r="371" spans="1:8" hidden="1" x14ac:dyDescent="0.3">
      <c r="A371" s="102"/>
      <c r="B371" s="105"/>
      <c r="C371" s="111"/>
      <c r="D371" s="70"/>
      <c r="E371" s="62"/>
      <c r="F371" s="68"/>
      <c r="G371" s="68"/>
      <c r="H371" s="109"/>
    </row>
    <row r="372" spans="1:8" hidden="1" x14ac:dyDescent="0.3">
      <c r="A372" s="102"/>
      <c r="B372" s="105"/>
      <c r="C372" s="111"/>
      <c r="D372" s="70"/>
      <c r="E372" s="62"/>
      <c r="F372" s="68"/>
      <c r="G372" s="68"/>
      <c r="H372" s="109"/>
    </row>
    <row r="373" spans="1:8" hidden="1" x14ac:dyDescent="0.3">
      <c r="A373" s="102"/>
      <c r="B373" s="105"/>
      <c r="C373" s="111"/>
      <c r="D373" s="70"/>
      <c r="E373" s="62"/>
      <c r="F373" s="68"/>
      <c r="G373" s="68"/>
      <c r="H373" s="109"/>
    </row>
    <row r="374" spans="1:8" hidden="1" x14ac:dyDescent="0.3">
      <c r="A374" s="102"/>
      <c r="B374" s="105"/>
      <c r="C374" s="111"/>
      <c r="D374" s="70"/>
      <c r="E374" s="62"/>
      <c r="F374" s="68"/>
      <c r="G374" s="68"/>
      <c r="H374" s="109"/>
    </row>
    <row r="375" spans="1:8" hidden="1" x14ac:dyDescent="0.3">
      <c r="A375" s="102"/>
      <c r="B375" s="105"/>
      <c r="C375" s="111"/>
      <c r="D375" s="70"/>
      <c r="E375" s="62"/>
      <c r="F375" s="68"/>
      <c r="G375" s="68"/>
      <c r="H375" s="109"/>
    </row>
    <row r="376" spans="1:8" hidden="1" x14ac:dyDescent="0.3">
      <c r="A376" s="102"/>
      <c r="B376" s="105"/>
      <c r="C376" s="111"/>
      <c r="D376" s="70"/>
      <c r="E376" s="62"/>
      <c r="F376" s="68"/>
      <c r="G376" s="68"/>
      <c r="H376" s="109"/>
    </row>
    <row r="377" spans="1:8" hidden="1" x14ac:dyDescent="0.3">
      <c r="A377" s="102"/>
      <c r="B377" s="105"/>
      <c r="C377" s="111"/>
      <c r="D377" s="70"/>
      <c r="E377" s="62"/>
      <c r="F377" s="68"/>
      <c r="G377" s="68"/>
      <c r="H377" s="109"/>
    </row>
    <row r="378" spans="1:8" hidden="1" x14ac:dyDescent="0.3">
      <c r="A378" s="102"/>
      <c r="B378" s="105"/>
      <c r="C378" s="111"/>
      <c r="D378" s="70"/>
      <c r="E378" s="62"/>
      <c r="F378" s="68"/>
      <c r="G378" s="68"/>
      <c r="H378" s="109"/>
    </row>
    <row r="379" spans="1:8" hidden="1" x14ac:dyDescent="0.3">
      <c r="A379" s="102"/>
      <c r="B379" s="105"/>
      <c r="C379" s="111"/>
      <c r="D379" s="70"/>
      <c r="E379" s="62"/>
      <c r="F379" s="68"/>
      <c r="G379" s="68"/>
      <c r="H379" s="109"/>
    </row>
    <row r="380" spans="1:8" hidden="1" x14ac:dyDescent="0.3">
      <c r="A380" s="102"/>
      <c r="B380" s="105"/>
      <c r="C380" s="111"/>
      <c r="D380" s="70"/>
      <c r="E380" s="62"/>
      <c r="F380" s="68"/>
      <c r="G380" s="68"/>
      <c r="H380" s="109"/>
    </row>
    <row r="381" spans="1:8" hidden="1" x14ac:dyDescent="0.3">
      <c r="A381" s="102"/>
      <c r="B381" s="105"/>
      <c r="C381" s="111"/>
      <c r="D381" s="70"/>
      <c r="E381" s="62"/>
      <c r="F381" s="68"/>
      <c r="G381" s="68"/>
      <c r="H381" s="109"/>
    </row>
    <row r="382" spans="1:8" hidden="1" x14ac:dyDescent="0.3">
      <c r="A382" s="102"/>
      <c r="B382" s="105"/>
      <c r="C382" s="111"/>
      <c r="D382" s="70"/>
      <c r="E382" s="62"/>
      <c r="F382" s="68"/>
      <c r="G382" s="68"/>
      <c r="H382" s="109"/>
    </row>
    <row r="383" spans="1:8" hidden="1" x14ac:dyDescent="0.3">
      <c r="A383" s="102"/>
      <c r="B383" s="105"/>
      <c r="C383" s="111"/>
      <c r="D383" s="70"/>
      <c r="E383" s="62"/>
      <c r="F383" s="68"/>
      <c r="G383" s="68"/>
      <c r="H383" s="109"/>
    </row>
    <row r="384" spans="1:8" hidden="1" x14ac:dyDescent="0.3">
      <c r="A384" s="102"/>
      <c r="B384" s="105"/>
      <c r="C384" s="111"/>
      <c r="D384" s="70"/>
      <c r="E384" s="62"/>
      <c r="F384" s="68"/>
      <c r="G384" s="68"/>
      <c r="H384" s="109"/>
    </row>
    <row r="385" spans="1:8" hidden="1" x14ac:dyDescent="0.3">
      <c r="A385" s="102"/>
      <c r="B385" s="105"/>
      <c r="C385" s="111"/>
      <c r="D385" s="70"/>
      <c r="E385" s="62"/>
      <c r="F385" s="68"/>
      <c r="G385" s="68"/>
      <c r="H385" s="109"/>
    </row>
    <row r="386" spans="1:8" hidden="1" x14ac:dyDescent="0.3">
      <c r="A386" s="102"/>
      <c r="B386" s="105"/>
      <c r="C386" s="111"/>
      <c r="D386" s="70"/>
      <c r="E386" s="62"/>
      <c r="F386" s="68"/>
      <c r="G386" s="68"/>
      <c r="H386" s="109"/>
    </row>
    <row r="387" spans="1:8" hidden="1" x14ac:dyDescent="0.3">
      <c r="A387" s="102"/>
      <c r="B387" s="105"/>
      <c r="C387" s="111"/>
      <c r="D387" s="70"/>
      <c r="E387" s="62"/>
      <c r="F387" s="68"/>
      <c r="G387" s="68"/>
      <c r="H387" s="109"/>
    </row>
    <row r="388" spans="1:8" hidden="1" x14ac:dyDescent="0.3">
      <c r="A388" s="102"/>
      <c r="B388" s="105"/>
      <c r="C388" s="111"/>
      <c r="D388" s="70"/>
      <c r="E388" s="62"/>
      <c r="F388" s="68"/>
      <c r="G388" s="68"/>
      <c r="H388" s="109"/>
    </row>
    <row r="389" spans="1:8" hidden="1" x14ac:dyDescent="0.3">
      <c r="A389" s="102"/>
      <c r="B389" s="105"/>
      <c r="C389" s="111"/>
      <c r="D389" s="70"/>
      <c r="E389" s="62"/>
      <c r="F389" s="68"/>
      <c r="G389" s="68"/>
      <c r="H389" s="109"/>
    </row>
    <row r="390" spans="1:8" hidden="1" x14ac:dyDescent="0.3">
      <c r="A390" s="102"/>
      <c r="B390" s="105"/>
      <c r="C390" s="111"/>
      <c r="D390" s="70"/>
      <c r="E390" s="62"/>
      <c r="F390" s="68"/>
      <c r="G390" s="68"/>
      <c r="H390" s="109"/>
    </row>
    <row r="391" spans="1:8" hidden="1" x14ac:dyDescent="0.3">
      <c r="A391" s="102"/>
      <c r="B391" s="105"/>
      <c r="C391" s="111"/>
      <c r="D391" s="70"/>
      <c r="E391" s="62"/>
      <c r="F391" s="68"/>
      <c r="G391" s="68"/>
      <c r="H391" s="109"/>
    </row>
    <row r="392" spans="1:8" hidden="1" x14ac:dyDescent="0.3">
      <c r="A392" s="102"/>
      <c r="B392" s="105"/>
      <c r="C392" s="111"/>
      <c r="D392" s="70"/>
      <c r="E392" s="62"/>
      <c r="F392" s="68"/>
      <c r="G392" s="68"/>
      <c r="H392" s="109"/>
    </row>
    <row r="393" spans="1:8" hidden="1" x14ac:dyDescent="0.3">
      <c r="A393" s="102"/>
      <c r="B393" s="105"/>
      <c r="C393" s="111"/>
      <c r="D393" s="70"/>
      <c r="E393" s="62"/>
      <c r="F393" s="68"/>
      <c r="G393" s="68"/>
      <c r="H393" s="109"/>
    </row>
    <row r="394" spans="1:8" hidden="1" x14ac:dyDescent="0.3">
      <c r="A394" s="102"/>
      <c r="B394" s="105"/>
      <c r="C394" s="111"/>
      <c r="D394" s="70"/>
      <c r="E394" s="62"/>
      <c r="F394" s="68"/>
      <c r="G394" s="68"/>
      <c r="H394" s="109"/>
    </row>
    <row r="395" spans="1:8" hidden="1" x14ac:dyDescent="0.3">
      <c r="A395" s="102"/>
      <c r="B395" s="105"/>
      <c r="C395" s="111"/>
      <c r="D395" s="70"/>
      <c r="E395" s="62"/>
      <c r="F395" s="68"/>
      <c r="G395" s="68"/>
      <c r="H395" s="109"/>
    </row>
    <row r="396" spans="1:8" hidden="1" x14ac:dyDescent="0.3">
      <c r="A396" s="102"/>
      <c r="B396" s="105"/>
      <c r="C396" s="111"/>
      <c r="D396" s="70"/>
      <c r="E396" s="62"/>
      <c r="F396" s="68"/>
      <c r="G396" s="68"/>
      <c r="H396" s="109"/>
    </row>
    <row r="397" spans="1:8" hidden="1" x14ac:dyDescent="0.3">
      <c r="A397" s="102"/>
      <c r="B397" s="105"/>
      <c r="C397" s="111"/>
      <c r="D397" s="70"/>
      <c r="E397" s="62"/>
      <c r="F397" s="68"/>
      <c r="G397" s="68"/>
      <c r="H397" s="109"/>
    </row>
    <row r="398" spans="1:8" hidden="1" x14ac:dyDescent="0.3">
      <c r="A398" s="102"/>
      <c r="B398" s="105"/>
      <c r="C398" s="111"/>
      <c r="D398" s="70"/>
      <c r="E398" s="62"/>
      <c r="F398" s="68"/>
      <c r="G398" s="68"/>
      <c r="H398" s="109"/>
    </row>
    <row r="399" spans="1:8" hidden="1" x14ac:dyDescent="0.3">
      <c r="A399" s="102"/>
      <c r="B399" s="105"/>
      <c r="C399" s="111"/>
      <c r="D399" s="70"/>
      <c r="E399" s="62"/>
      <c r="F399" s="68"/>
      <c r="G399" s="68"/>
      <c r="H399" s="109"/>
    </row>
    <row r="400" spans="1:8" hidden="1" x14ac:dyDescent="0.3">
      <c r="A400" s="102"/>
      <c r="B400" s="105"/>
      <c r="C400" s="111"/>
      <c r="D400" s="70"/>
      <c r="E400" s="62"/>
      <c r="F400" s="68"/>
      <c r="G400" s="68"/>
      <c r="H400" s="109"/>
    </row>
    <row r="401" spans="1:8" hidden="1" x14ac:dyDescent="0.3">
      <c r="A401" s="102"/>
      <c r="B401" s="105"/>
      <c r="C401" s="111"/>
      <c r="D401" s="70"/>
      <c r="E401" s="62"/>
      <c r="F401" s="68"/>
      <c r="G401" s="68"/>
      <c r="H401" s="109"/>
    </row>
    <row r="402" spans="1:8" hidden="1" x14ac:dyDescent="0.3">
      <c r="A402" s="102"/>
      <c r="B402" s="105"/>
      <c r="C402" s="111"/>
      <c r="D402" s="70"/>
      <c r="E402" s="62"/>
      <c r="F402" s="68"/>
      <c r="G402" s="68"/>
      <c r="H402" s="109"/>
    </row>
    <row r="403" spans="1:8" hidden="1" x14ac:dyDescent="0.3">
      <c r="A403" s="102"/>
      <c r="B403" s="105"/>
      <c r="C403" s="111"/>
      <c r="D403" s="70"/>
      <c r="E403" s="62"/>
      <c r="F403" s="68"/>
      <c r="G403" s="68"/>
      <c r="H403" s="109"/>
    </row>
    <row r="404" spans="1:8" hidden="1" x14ac:dyDescent="0.3">
      <c r="A404" s="102"/>
      <c r="B404" s="105"/>
      <c r="C404" s="111"/>
      <c r="D404" s="70"/>
      <c r="E404" s="62"/>
      <c r="F404" s="68"/>
      <c r="G404" s="68"/>
      <c r="H404" s="109"/>
    </row>
    <row r="405" spans="1:8" hidden="1" x14ac:dyDescent="0.3">
      <c r="A405" s="102"/>
      <c r="B405" s="105"/>
      <c r="C405" s="111"/>
      <c r="D405" s="70"/>
      <c r="E405" s="62"/>
      <c r="F405" s="68"/>
      <c r="G405" s="68"/>
      <c r="H405" s="109"/>
    </row>
    <row r="406" spans="1:8" hidden="1" x14ac:dyDescent="0.3">
      <c r="A406" s="102"/>
      <c r="B406" s="105"/>
      <c r="C406" s="111"/>
      <c r="D406" s="70"/>
      <c r="E406" s="62"/>
      <c r="F406" s="68"/>
      <c r="G406" s="68"/>
      <c r="H406" s="109"/>
    </row>
    <row r="407" spans="1:8" hidden="1" x14ac:dyDescent="0.3">
      <c r="A407" s="102"/>
      <c r="B407" s="105"/>
      <c r="C407" s="111"/>
      <c r="D407" s="70"/>
      <c r="E407" s="62"/>
      <c r="F407" s="68"/>
      <c r="G407" s="68"/>
      <c r="H407" s="109"/>
    </row>
    <row r="408" spans="1:8" hidden="1" x14ac:dyDescent="0.3">
      <c r="A408" s="102"/>
      <c r="B408" s="105"/>
      <c r="C408" s="111"/>
      <c r="D408" s="70"/>
      <c r="E408" s="62"/>
      <c r="F408" s="68"/>
      <c r="G408" s="68"/>
      <c r="H408" s="109"/>
    </row>
    <row r="409" spans="1:8" hidden="1" x14ac:dyDescent="0.3">
      <c r="A409" s="102"/>
      <c r="B409" s="105"/>
      <c r="C409" s="111"/>
      <c r="D409" s="70"/>
      <c r="E409" s="62"/>
      <c r="F409" s="68"/>
      <c r="G409" s="68"/>
      <c r="H409" s="109"/>
    </row>
    <row r="410" spans="1:8" hidden="1" x14ac:dyDescent="0.3">
      <c r="A410" s="102"/>
      <c r="B410" s="105"/>
      <c r="C410" s="111"/>
      <c r="D410" s="70"/>
      <c r="E410" s="62"/>
      <c r="F410" s="68"/>
      <c r="G410" s="68"/>
      <c r="H410" s="109"/>
    </row>
    <row r="411" spans="1:8" hidden="1" x14ac:dyDescent="0.3">
      <c r="A411" s="102"/>
      <c r="B411" s="105"/>
      <c r="C411" s="111"/>
      <c r="D411" s="70"/>
      <c r="E411" s="62"/>
      <c r="F411" s="68"/>
      <c r="G411" s="68"/>
      <c r="H411" s="109"/>
    </row>
    <row r="412" spans="1:8" hidden="1" x14ac:dyDescent="0.3">
      <c r="A412" s="102"/>
      <c r="B412" s="105"/>
      <c r="C412" s="111"/>
      <c r="D412" s="70"/>
      <c r="E412" s="62"/>
      <c r="F412" s="68"/>
      <c r="G412" s="68"/>
      <c r="H412" s="109"/>
    </row>
    <row r="413" spans="1:8" hidden="1" x14ac:dyDescent="0.3">
      <c r="A413" s="102"/>
      <c r="B413" s="105"/>
      <c r="C413" s="111"/>
      <c r="D413" s="70"/>
      <c r="E413" s="62"/>
      <c r="F413" s="68"/>
      <c r="G413" s="68"/>
      <c r="H413" s="109"/>
    </row>
    <row r="414" spans="1:8" hidden="1" x14ac:dyDescent="0.3">
      <c r="A414" s="102"/>
      <c r="B414" s="105"/>
      <c r="C414" s="111"/>
      <c r="D414" s="70"/>
      <c r="E414" s="62"/>
      <c r="F414" s="68"/>
      <c r="G414" s="68"/>
      <c r="H414" s="109"/>
    </row>
    <row r="415" spans="1:8" hidden="1" x14ac:dyDescent="0.3">
      <c r="A415" s="102"/>
      <c r="B415" s="105"/>
      <c r="C415" s="111"/>
      <c r="D415" s="70"/>
      <c r="E415" s="62"/>
      <c r="F415" s="68"/>
      <c r="G415" s="68"/>
      <c r="H415" s="109"/>
    </row>
    <row r="416" spans="1:8" hidden="1" x14ac:dyDescent="0.3">
      <c r="A416" s="102"/>
      <c r="B416" s="105"/>
      <c r="C416" s="111"/>
      <c r="D416" s="70"/>
      <c r="E416" s="62"/>
      <c r="F416" s="68"/>
      <c r="G416" s="68"/>
      <c r="H416" s="109"/>
    </row>
    <row r="417" spans="1:8" hidden="1" x14ac:dyDescent="0.3">
      <c r="A417" s="102"/>
      <c r="B417" s="105"/>
      <c r="C417" s="111"/>
      <c r="D417" s="70"/>
      <c r="E417" s="62"/>
      <c r="F417" s="68"/>
      <c r="G417" s="68"/>
      <c r="H417" s="109"/>
    </row>
    <row r="418" spans="1:8" hidden="1" x14ac:dyDescent="0.3">
      <c r="A418" s="102"/>
      <c r="B418" s="105"/>
      <c r="C418" s="111"/>
      <c r="D418" s="70"/>
      <c r="E418" s="62"/>
      <c r="F418" s="68"/>
      <c r="G418" s="68"/>
      <c r="H418" s="109"/>
    </row>
    <row r="419" spans="1:8" hidden="1" x14ac:dyDescent="0.3">
      <c r="A419" s="102"/>
      <c r="B419" s="105"/>
      <c r="C419" s="111"/>
      <c r="D419" s="70"/>
      <c r="E419" s="62"/>
      <c r="F419" s="68"/>
      <c r="G419" s="68"/>
      <c r="H419" s="109"/>
    </row>
    <row r="420" spans="1:8" hidden="1" x14ac:dyDescent="0.3">
      <c r="A420" s="102"/>
      <c r="B420" s="105"/>
      <c r="C420" s="111"/>
      <c r="D420" s="70"/>
      <c r="E420" s="62"/>
      <c r="F420" s="68"/>
      <c r="G420" s="68"/>
      <c r="H420" s="109"/>
    </row>
    <row r="421" spans="1:8" hidden="1" x14ac:dyDescent="0.3">
      <c r="A421" s="102"/>
      <c r="B421" s="105"/>
      <c r="C421" s="111"/>
      <c r="D421" s="70"/>
      <c r="E421" s="62"/>
      <c r="F421" s="68"/>
      <c r="G421" s="68"/>
      <c r="H421" s="109"/>
    </row>
    <row r="422" spans="1:8" hidden="1" x14ac:dyDescent="0.3">
      <c r="A422" s="102"/>
      <c r="B422" s="105"/>
      <c r="C422" s="111"/>
      <c r="D422" s="70"/>
      <c r="E422" s="62"/>
      <c r="F422" s="68"/>
      <c r="G422" s="68"/>
      <c r="H422" s="109"/>
    </row>
    <row r="423" spans="1:8" hidden="1" x14ac:dyDescent="0.3">
      <c r="A423" s="102"/>
      <c r="B423" s="105"/>
      <c r="C423" s="111"/>
      <c r="D423" s="70"/>
      <c r="E423" s="62"/>
      <c r="F423" s="68"/>
      <c r="G423" s="68"/>
      <c r="H423" s="109"/>
    </row>
    <row r="424" spans="1:8" hidden="1" x14ac:dyDescent="0.3">
      <c r="A424" s="102"/>
      <c r="B424" s="105"/>
      <c r="C424" s="111"/>
      <c r="D424" s="70"/>
      <c r="E424" s="62"/>
      <c r="F424" s="68"/>
      <c r="G424" s="68"/>
      <c r="H424" s="109"/>
    </row>
    <row r="425" spans="1:8" hidden="1" x14ac:dyDescent="0.3">
      <c r="A425" s="102"/>
      <c r="B425" s="105"/>
      <c r="C425" s="111"/>
      <c r="D425" s="70"/>
      <c r="E425" s="62"/>
      <c r="F425" s="68"/>
      <c r="G425" s="68"/>
      <c r="H425" s="109"/>
    </row>
    <row r="426" spans="1:8" hidden="1" x14ac:dyDescent="0.3">
      <c r="A426" s="102"/>
      <c r="B426" s="105"/>
      <c r="C426" s="111"/>
      <c r="D426" s="70"/>
      <c r="E426" s="62"/>
      <c r="F426" s="68"/>
      <c r="G426" s="68"/>
      <c r="H426" s="109"/>
    </row>
    <row r="427" spans="1:8" hidden="1" x14ac:dyDescent="0.3">
      <c r="A427" s="102"/>
      <c r="B427" s="105"/>
      <c r="C427" s="111"/>
      <c r="D427" s="70"/>
      <c r="E427" s="62"/>
      <c r="F427" s="68"/>
      <c r="G427" s="68"/>
      <c r="H427" s="109"/>
    </row>
    <row r="428" spans="1:8" hidden="1" x14ac:dyDescent="0.3">
      <c r="A428" s="102"/>
      <c r="B428" s="105"/>
      <c r="C428" s="111"/>
      <c r="D428" s="70"/>
      <c r="E428" s="62"/>
      <c r="F428" s="68"/>
      <c r="G428" s="68"/>
      <c r="H428" s="109"/>
    </row>
    <row r="429" spans="1:8" hidden="1" x14ac:dyDescent="0.3">
      <c r="A429" s="102"/>
      <c r="B429" s="105"/>
      <c r="C429" s="111"/>
      <c r="D429" s="70"/>
      <c r="E429" s="62"/>
      <c r="F429" s="68"/>
      <c r="G429" s="68"/>
      <c r="H429" s="109"/>
    </row>
    <row r="430" spans="1:8" hidden="1" x14ac:dyDescent="0.3">
      <c r="A430" s="102"/>
      <c r="B430" s="105"/>
      <c r="C430" s="111"/>
      <c r="D430" s="70"/>
      <c r="E430" s="62"/>
      <c r="F430" s="68"/>
      <c r="G430" s="68"/>
      <c r="H430" s="109"/>
    </row>
    <row r="431" spans="1:8" hidden="1" x14ac:dyDescent="0.3">
      <c r="A431" s="102"/>
      <c r="B431" s="105"/>
      <c r="C431" s="111"/>
      <c r="D431" s="70"/>
      <c r="E431" s="62"/>
      <c r="F431" s="68"/>
      <c r="G431" s="68"/>
      <c r="H431" s="109"/>
    </row>
    <row r="432" spans="1:8" hidden="1" x14ac:dyDescent="0.3">
      <c r="A432" s="102"/>
      <c r="B432" s="105"/>
      <c r="C432" s="111"/>
      <c r="D432" s="70"/>
      <c r="E432" s="62"/>
      <c r="F432" s="68"/>
      <c r="G432" s="68"/>
      <c r="H432" s="109"/>
    </row>
    <row r="433" spans="1:8" hidden="1" x14ac:dyDescent="0.3">
      <c r="A433" s="102"/>
      <c r="B433" s="105"/>
      <c r="C433" s="111"/>
      <c r="D433" s="70"/>
      <c r="E433" s="62"/>
      <c r="F433" s="68"/>
      <c r="G433" s="68"/>
      <c r="H433" s="109"/>
    </row>
    <row r="434" spans="1:8" hidden="1" x14ac:dyDescent="0.3">
      <c r="A434" s="102"/>
      <c r="B434" s="105"/>
      <c r="C434" s="111"/>
      <c r="D434" s="70"/>
      <c r="E434" s="62"/>
      <c r="F434" s="68"/>
      <c r="G434" s="68"/>
      <c r="H434" s="109"/>
    </row>
    <row r="435" spans="1:8" hidden="1" x14ac:dyDescent="0.3">
      <c r="A435" s="102"/>
      <c r="B435" s="105"/>
      <c r="C435" s="111"/>
      <c r="D435" s="70"/>
      <c r="E435" s="62"/>
      <c r="F435" s="68"/>
      <c r="G435" s="68"/>
      <c r="H435" s="109"/>
    </row>
    <row r="436" spans="1:8" hidden="1" x14ac:dyDescent="0.3">
      <c r="A436" s="102"/>
      <c r="B436" s="105"/>
      <c r="C436" s="111"/>
      <c r="D436" s="70"/>
      <c r="E436" s="62"/>
      <c r="F436" s="68"/>
      <c r="G436" s="68"/>
      <c r="H436" s="109"/>
    </row>
    <row r="437" spans="1:8" hidden="1" x14ac:dyDescent="0.3">
      <c r="A437" s="102"/>
      <c r="B437" s="105"/>
      <c r="C437" s="111"/>
      <c r="D437" s="70"/>
      <c r="E437" s="62"/>
      <c r="F437" s="68"/>
      <c r="G437" s="68"/>
      <c r="H437" s="109"/>
    </row>
    <row r="438" spans="1:8" hidden="1" x14ac:dyDescent="0.3">
      <c r="A438" s="102"/>
      <c r="B438" s="105"/>
      <c r="C438" s="111"/>
      <c r="D438" s="70"/>
      <c r="E438" s="62"/>
      <c r="F438" s="68"/>
      <c r="G438" s="68"/>
      <c r="H438" s="109"/>
    </row>
    <row r="439" spans="1:8" hidden="1" x14ac:dyDescent="0.3">
      <c r="A439" s="102"/>
      <c r="B439" s="105"/>
      <c r="C439" s="111"/>
      <c r="D439" s="70"/>
      <c r="E439" s="62"/>
      <c r="F439" s="68"/>
      <c r="G439" s="68"/>
      <c r="H439" s="109"/>
    </row>
    <row r="440" spans="1:8" hidden="1" x14ac:dyDescent="0.3">
      <c r="A440" s="102"/>
      <c r="B440" s="105"/>
      <c r="C440" s="111"/>
      <c r="D440" s="70"/>
      <c r="E440" s="62"/>
      <c r="F440" s="68"/>
      <c r="G440" s="68"/>
      <c r="H440" s="109"/>
    </row>
    <row r="441" spans="1:8" hidden="1" x14ac:dyDescent="0.3">
      <c r="A441" s="102"/>
      <c r="B441" s="105"/>
      <c r="C441" s="111"/>
      <c r="D441" s="70"/>
      <c r="E441" s="62"/>
      <c r="F441" s="68"/>
      <c r="G441" s="68"/>
      <c r="H441" s="109"/>
    </row>
    <row r="442" spans="1:8" hidden="1" x14ac:dyDescent="0.3">
      <c r="A442" s="102"/>
      <c r="B442" s="105"/>
      <c r="C442" s="111"/>
      <c r="D442" s="70"/>
      <c r="E442" s="62"/>
      <c r="F442" s="68"/>
      <c r="G442" s="68"/>
      <c r="H442" s="109"/>
    </row>
    <row r="443" spans="1:8" hidden="1" x14ac:dyDescent="0.3">
      <c r="A443" s="102"/>
      <c r="B443" s="105"/>
      <c r="C443" s="111"/>
      <c r="D443" s="70"/>
      <c r="E443" s="62"/>
      <c r="F443" s="68"/>
      <c r="G443" s="68"/>
      <c r="H443" s="109"/>
    </row>
    <row r="444" spans="1:8" hidden="1" x14ac:dyDescent="0.3">
      <c r="A444" s="102"/>
      <c r="B444" s="105"/>
      <c r="C444" s="111"/>
      <c r="D444" s="70"/>
      <c r="E444" s="62"/>
      <c r="F444" s="68"/>
      <c r="G444" s="68"/>
      <c r="H444" s="109"/>
    </row>
    <row r="445" spans="1:8" hidden="1" x14ac:dyDescent="0.3">
      <c r="A445" s="102"/>
      <c r="B445" s="105"/>
      <c r="C445" s="111"/>
      <c r="D445" s="70"/>
      <c r="E445" s="62"/>
      <c r="F445" s="68"/>
      <c r="G445" s="68"/>
      <c r="H445" s="109"/>
    </row>
    <row r="446" spans="1:8" hidden="1" x14ac:dyDescent="0.3">
      <c r="A446" s="102"/>
      <c r="B446" s="105"/>
      <c r="C446" s="111"/>
      <c r="D446" s="70"/>
      <c r="E446" s="62"/>
      <c r="F446" s="68"/>
      <c r="G446" s="68"/>
      <c r="H446" s="109"/>
    </row>
    <row r="447" spans="1:8" hidden="1" x14ac:dyDescent="0.3">
      <c r="A447" s="102"/>
      <c r="B447" s="105"/>
      <c r="C447" s="111"/>
      <c r="D447" s="70"/>
      <c r="E447" s="62"/>
      <c r="F447" s="68"/>
      <c r="G447" s="68"/>
      <c r="H447" s="109"/>
    </row>
    <row r="448" spans="1:8" hidden="1" x14ac:dyDescent="0.3">
      <c r="A448" s="102"/>
      <c r="B448" s="105"/>
      <c r="C448" s="111"/>
      <c r="D448" s="70"/>
      <c r="E448" s="62"/>
      <c r="F448" s="68"/>
      <c r="G448" s="68"/>
      <c r="H448" s="109"/>
    </row>
    <row r="449" spans="1:8" hidden="1" x14ac:dyDescent="0.3">
      <c r="A449" s="102"/>
      <c r="B449" s="105"/>
      <c r="C449" s="111"/>
      <c r="D449" s="70"/>
      <c r="E449" s="62"/>
      <c r="F449" s="68"/>
      <c r="G449" s="68"/>
      <c r="H449" s="109"/>
    </row>
    <row r="450" spans="1:8" hidden="1" x14ac:dyDescent="0.3">
      <c r="A450" s="102"/>
      <c r="B450" s="105"/>
      <c r="C450" s="111"/>
      <c r="D450" s="70"/>
      <c r="E450" s="62"/>
      <c r="F450" s="68"/>
      <c r="G450" s="68"/>
      <c r="H450" s="109"/>
    </row>
    <row r="451" spans="1:8" hidden="1" x14ac:dyDescent="0.3">
      <c r="A451" s="102"/>
      <c r="B451" s="105"/>
      <c r="C451" s="111"/>
      <c r="D451" s="70"/>
      <c r="E451" s="62"/>
      <c r="F451" s="68"/>
      <c r="G451" s="68"/>
      <c r="H451" s="109"/>
    </row>
    <row r="452" spans="1:8" hidden="1" x14ac:dyDescent="0.3">
      <c r="A452" s="102"/>
      <c r="B452" s="105"/>
      <c r="C452" s="111"/>
      <c r="D452" s="70"/>
      <c r="E452" s="62"/>
      <c r="F452" s="68"/>
      <c r="G452" s="68"/>
      <c r="H452" s="109"/>
    </row>
    <row r="453" spans="1:8" hidden="1" x14ac:dyDescent="0.3">
      <c r="A453" s="102"/>
      <c r="B453" s="105"/>
      <c r="C453" s="111"/>
      <c r="D453" s="70"/>
      <c r="E453" s="62"/>
      <c r="F453" s="68"/>
      <c r="G453" s="68"/>
      <c r="H453" s="109"/>
    </row>
    <row r="454" spans="1:8" hidden="1" x14ac:dyDescent="0.3">
      <c r="A454" s="102"/>
      <c r="B454" s="105"/>
      <c r="C454" s="111"/>
      <c r="D454" s="70"/>
      <c r="E454" s="62"/>
      <c r="F454" s="68"/>
      <c r="G454" s="68"/>
      <c r="H454" s="109"/>
    </row>
    <row r="455" spans="1:8" hidden="1" x14ac:dyDescent="0.3">
      <c r="A455" s="102"/>
      <c r="B455" s="105"/>
      <c r="C455" s="111"/>
      <c r="D455" s="70"/>
      <c r="E455" s="62"/>
      <c r="F455" s="68"/>
      <c r="G455" s="68"/>
      <c r="H455" s="109"/>
    </row>
    <row r="456" spans="1:8" hidden="1" x14ac:dyDescent="0.3">
      <c r="A456" s="102"/>
      <c r="B456" s="105"/>
      <c r="C456" s="111"/>
      <c r="D456" s="70"/>
      <c r="E456" s="62"/>
      <c r="F456" s="68"/>
      <c r="G456" s="68"/>
      <c r="H456" s="109"/>
    </row>
    <row r="457" spans="1:8" hidden="1" x14ac:dyDescent="0.3">
      <c r="A457" s="102"/>
      <c r="B457" s="105"/>
      <c r="C457" s="111"/>
      <c r="D457" s="70"/>
      <c r="E457" s="62"/>
      <c r="F457" s="68"/>
      <c r="G457" s="68"/>
      <c r="H457" s="109"/>
    </row>
    <row r="458" spans="1:8" hidden="1" x14ac:dyDescent="0.3">
      <c r="A458" s="102"/>
      <c r="B458" s="105"/>
      <c r="C458" s="111"/>
      <c r="D458" s="70"/>
      <c r="E458" s="62"/>
      <c r="F458" s="68"/>
      <c r="G458" s="68"/>
      <c r="H458" s="109"/>
    </row>
    <row r="459" spans="1:8" hidden="1" x14ac:dyDescent="0.3">
      <c r="A459" s="102"/>
      <c r="B459" s="105"/>
      <c r="C459" s="111"/>
      <c r="D459" s="70"/>
      <c r="E459" s="62"/>
      <c r="F459" s="68"/>
      <c r="G459" s="68"/>
      <c r="H459" s="109"/>
    </row>
    <row r="460" spans="1:8" hidden="1" x14ac:dyDescent="0.3">
      <c r="A460" s="102"/>
      <c r="B460" s="105"/>
      <c r="C460" s="111"/>
      <c r="D460" s="70"/>
      <c r="E460" s="62"/>
      <c r="F460" s="68"/>
      <c r="G460" s="68"/>
      <c r="H460" s="109"/>
    </row>
    <row r="461" spans="1:8" hidden="1" x14ac:dyDescent="0.3">
      <c r="A461" s="102"/>
      <c r="B461" s="105"/>
      <c r="C461" s="111"/>
      <c r="D461" s="70"/>
      <c r="E461" s="62"/>
      <c r="F461" s="68"/>
      <c r="G461" s="68"/>
      <c r="H461" s="109"/>
    </row>
    <row r="462" spans="1:8" hidden="1" x14ac:dyDescent="0.3">
      <c r="A462" s="102"/>
      <c r="B462" s="105"/>
      <c r="C462" s="111"/>
      <c r="D462" s="70"/>
      <c r="E462" s="62"/>
      <c r="F462" s="68"/>
      <c r="G462" s="68"/>
      <c r="H462" s="109"/>
    </row>
    <row r="463" spans="1:8" hidden="1" x14ac:dyDescent="0.3">
      <c r="A463" s="102"/>
      <c r="B463" s="105"/>
      <c r="C463" s="111"/>
      <c r="D463" s="70"/>
      <c r="E463" s="62"/>
      <c r="F463" s="68"/>
      <c r="G463" s="68"/>
      <c r="H463" s="109"/>
    </row>
    <row r="464" spans="1:8" hidden="1" x14ac:dyDescent="0.3">
      <c r="A464" s="102"/>
      <c r="B464" s="105"/>
      <c r="C464" s="111"/>
      <c r="D464" s="70"/>
      <c r="E464" s="62"/>
      <c r="F464" s="68"/>
      <c r="G464" s="68"/>
      <c r="H464" s="109"/>
    </row>
    <row r="465" spans="1:8" hidden="1" x14ac:dyDescent="0.3">
      <c r="A465" s="102"/>
      <c r="B465" s="105"/>
      <c r="C465" s="111"/>
      <c r="D465" s="70"/>
      <c r="E465" s="62"/>
      <c r="F465" s="68"/>
      <c r="G465" s="68"/>
      <c r="H465" s="109"/>
    </row>
    <row r="466" spans="1:8" hidden="1" x14ac:dyDescent="0.3">
      <c r="A466" s="102"/>
      <c r="B466" s="105"/>
      <c r="C466" s="111"/>
      <c r="D466" s="70"/>
      <c r="E466" s="62"/>
      <c r="F466" s="68"/>
      <c r="G466" s="68"/>
      <c r="H466" s="109"/>
    </row>
    <row r="467" spans="1:8" hidden="1" x14ac:dyDescent="0.3">
      <c r="A467" s="102"/>
      <c r="B467" s="105"/>
      <c r="C467" s="111"/>
      <c r="D467" s="70"/>
      <c r="E467" s="62"/>
      <c r="F467" s="68"/>
      <c r="G467" s="68"/>
      <c r="H467" s="109"/>
    </row>
    <row r="468" spans="1:8" hidden="1" x14ac:dyDescent="0.3">
      <c r="A468" s="102"/>
      <c r="B468" s="105"/>
      <c r="C468" s="111"/>
      <c r="D468" s="70"/>
      <c r="E468" s="62"/>
      <c r="F468" s="68"/>
      <c r="G468" s="68"/>
      <c r="H468" s="109"/>
    </row>
    <row r="469" spans="1:8" hidden="1" x14ac:dyDescent="0.3">
      <c r="A469" s="102"/>
      <c r="B469" s="105"/>
      <c r="C469" s="111"/>
      <c r="D469" s="70"/>
      <c r="E469" s="62"/>
      <c r="F469" s="68"/>
      <c r="G469" s="68"/>
      <c r="H469" s="109"/>
    </row>
    <row r="470" spans="1:8" hidden="1" x14ac:dyDescent="0.3">
      <c r="A470" s="102"/>
      <c r="B470" s="105"/>
      <c r="C470" s="111"/>
      <c r="D470" s="70"/>
      <c r="E470" s="62"/>
      <c r="F470" s="68"/>
      <c r="G470" s="68"/>
      <c r="H470" s="109"/>
    </row>
    <row r="471" spans="1:8" hidden="1" x14ac:dyDescent="0.3">
      <c r="A471" s="102"/>
      <c r="B471" s="105"/>
      <c r="C471" s="111"/>
      <c r="D471" s="70"/>
      <c r="E471" s="62"/>
      <c r="F471" s="68"/>
      <c r="G471" s="68"/>
      <c r="H471" s="109"/>
    </row>
    <row r="472" spans="1:8" hidden="1" x14ac:dyDescent="0.3">
      <c r="A472" s="102"/>
      <c r="B472" s="105"/>
      <c r="C472" s="111"/>
      <c r="D472" s="70"/>
      <c r="E472" s="62"/>
      <c r="F472" s="68"/>
      <c r="G472" s="68"/>
      <c r="H472" s="109"/>
    </row>
    <row r="473" spans="1:8" hidden="1" x14ac:dyDescent="0.3">
      <c r="A473" s="102"/>
      <c r="B473" s="105"/>
      <c r="C473" s="111"/>
      <c r="D473" s="70"/>
      <c r="E473" s="62"/>
      <c r="F473" s="68"/>
      <c r="G473" s="68"/>
      <c r="H473" s="109"/>
    </row>
    <row r="474" spans="1:8" hidden="1" x14ac:dyDescent="0.3">
      <c r="A474" s="102"/>
      <c r="B474" s="105"/>
      <c r="C474" s="111"/>
      <c r="D474" s="70"/>
      <c r="E474" s="62"/>
      <c r="F474" s="68"/>
      <c r="G474" s="68"/>
      <c r="H474" s="109"/>
    </row>
    <row r="475" spans="1:8" hidden="1" x14ac:dyDescent="0.3">
      <c r="A475" s="102"/>
      <c r="B475" s="105"/>
      <c r="C475" s="111"/>
      <c r="D475" s="70"/>
      <c r="E475" s="62"/>
      <c r="F475" s="68"/>
      <c r="G475" s="68"/>
      <c r="H475" s="109"/>
    </row>
    <row r="476" spans="1:8" hidden="1" x14ac:dyDescent="0.3">
      <c r="A476" s="102"/>
      <c r="B476" s="105"/>
      <c r="C476" s="111"/>
      <c r="D476" s="70"/>
      <c r="E476" s="62"/>
      <c r="F476" s="68"/>
      <c r="G476" s="68"/>
      <c r="H476" s="109"/>
    </row>
    <row r="477" spans="1:8" hidden="1" x14ac:dyDescent="0.3">
      <c r="A477" s="102"/>
      <c r="B477" s="105"/>
      <c r="C477" s="111"/>
      <c r="D477" s="70"/>
      <c r="E477" s="62"/>
      <c r="F477" s="68"/>
      <c r="G477" s="68"/>
      <c r="H477" s="109"/>
    </row>
    <row r="478" spans="1:8" hidden="1" x14ac:dyDescent="0.3">
      <c r="A478" s="102"/>
      <c r="B478" s="105"/>
      <c r="C478" s="111"/>
      <c r="D478" s="70"/>
      <c r="E478" s="62"/>
      <c r="F478" s="68"/>
      <c r="G478" s="68"/>
      <c r="H478" s="109"/>
    </row>
    <row r="479" spans="1:8" hidden="1" x14ac:dyDescent="0.3">
      <c r="A479" s="102"/>
      <c r="B479" s="105"/>
      <c r="C479" s="111"/>
      <c r="D479" s="70"/>
      <c r="E479" s="62"/>
      <c r="F479" s="68"/>
      <c r="G479" s="68"/>
      <c r="H479" s="109"/>
    </row>
    <row r="480" spans="1:8" hidden="1" x14ac:dyDescent="0.3">
      <c r="A480" s="102"/>
      <c r="B480" s="105"/>
      <c r="C480" s="111"/>
      <c r="D480" s="70"/>
      <c r="E480" s="62"/>
      <c r="F480" s="68"/>
      <c r="G480" s="68"/>
      <c r="H480" s="109"/>
    </row>
    <row r="481" spans="1:8" hidden="1" x14ac:dyDescent="0.3">
      <c r="A481" s="102"/>
      <c r="B481" s="105"/>
      <c r="C481" s="111"/>
      <c r="D481" s="70"/>
      <c r="E481" s="62"/>
      <c r="F481" s="68"/>
      <c r="G481" s="68"/>
      <c r="H481" s="109"/>
    </row>
    <row r="482" spans="1:8" hidden="1" x14ac:dyDescent="0.3">
      <c r="A482" s="102"/>
      <c r="B482" s="105"/>
      <c r="C482" s="111"/>
      <c r="D482" s="70"/>
      <c r="E482" s="62"/>
      <c r="F482" s="68"/>
      <c r="G482" s="68"/>
      <c r="H482" s="109"/>
    </row>
    <row r="483" spans="1:8" hidden="1" x14ac:dyDescent="0.3">
      <c r="A483" s="102"/>
      <c r="B483" s="105"/>
      <c r="C483" s="111"/>
      <c r="D483" s="70"/>
      <c r="E483" s="62"/>
      <c r="F483" s="68"/>
      <c r="G483" s="68"/>
      <c r="H483" s="109"/>
    </row>
    <row r="484" spans="1:8" hidden="1" x14ac:dyDescent="0.3">
      <c r="A484" s="102"/>
      <c r="B484" s="105"/>
      <c r="C484" s="111"/>
      <c r="D484" s="70"/>
      <c r="E484" s="62"/>
      <c r="F484" s="68"/>
      <c r="G484" s="68"/>
      <c r="H484" s="109"/>
    </row>
    <row r="485" spans="1:8" hidden="1" x14ac:dyDescent="0.3">
      <c r="A485" s="102"/>
      <c r="B485" s="105"/>
      <c r="C485" s="111"/>
      <c r="D485" s="70"/>
      <c r="E485" s="62"/>
      <c r="F485" s="68"/>
      <c r="G485" s="68"/>
      <c r="H485" s="109"/>
    </row>
    <row r="486" spans="1:8" hidden="1" x14ac:dyDescent="0.3">
      <c r="A486" s="102"/>
      <c r="B486" s="105"/>
      <c r="C486" s="111"/>
      <c r="D486" s="70"/>
      <c r="E486" s="62"/>
      <c r="F486" s="68"/>
      <c r="G486" s="68"/>
      <c r="H486" s="109"/>
    </row>
    <row r="487" spans="1:8" hidden="1" x14ac:dyDescent="0.3">
      <c r="A487" s="102"/>
      <c r="B487" s="105"/>
      <c r="C487" s="111"/>
      <c r="D487" s="70"/>
      <c r="E487" s="62"/>
      <c r="F487" s="68"/>
      <c r="G487" s="68"/>
      <c r="H487" s="109"/>
    </row>
    <row r="488" spans="1:8" hidden="1" x14ac:dyDescent="0.3">
      <c r="A488" s="102"/>
      <c r="B488" s="105"/>
      <c r="C488" s="111"/>
      <c r="D488" s="70"/>
      <c r="E488" s="62"/>
      <c r="F488" s="68"/>
      <c r="G488" s="68"/>
      <c r="H488" s="109"/>
    </row>
    <row r="489" spans="1:8" hidden="1" x14ac:dyDescent="0.3">
      <c r="A489" s="102"/>
      <c r="B489" s="105"/>
      <c r="C489" s="111"/>
      <c r="D489" s="70"/>
      <c r="E489" s="62"/>
      <c r="F489" s="68"/>
      <c r="G489" s="68"/>
      <c r="H489" s="109"/>
    </row>
    <row r="490" spans="1:8" hidden="1" x14ac:dyDescent="0.3">
      <c r="A490" s="102"/>
      <c r="B490" s="105"/>
      <c r="C490" s="111"/>
      <c r="D490" s="70"/>
      <c r="E490" s="62"/>
      <c r="F490" s="68"/>
      <c r="G490" s="68"/>
      <c r="H490" s="109"/>
    </row>
    <row r="491" spans="1:8" hidden="1" x14ac:dyDescent="0.3">
      <c r="A491" s="102"/>
      <c r="B491" s="105"/>
      <c r="C491" s="111"/>
      <c r="D491" s="70"/>
      <c r="E491" s="62"/>
      <c r="F491" s="68"/>
      <c r="G491" s="68"/>
      <c r="H491" s="109"/>
    </row>
    <row r="492" spans="1:8" hidden="1" x14ac:dyDescent="0.3">
      <c r="A492" s="102"/>
      <c r="B492" s="105"/>
      <c r="C492" s="111"/>
      <c r="D492" s="70"/>
      <c r="E492" s="62"/>
      <c r="F492" s="68"/>
      <c r="G492" s="68"/>
      <c r="H492" s="109"/>
    </row>
    <row r="493" spans="1:8" hidden="1" x14ac:dyDescent="0.3">
      <c r="A493" s="102"/>
      <c r="B493" s="105"/>
      <c r="C493" s="111"/>
      <c r="D493" s="70"/>
      <c r="E493" s="62"/>
      <c r="F493" s="68"/>
      <c r="G493" s="68"/>
      <c r="H493" s="109"/>
    </row>
    <row r="494" spans="1:8" hidden="1" x14ac:dyDescent="0.3">
      <c r="A494" s="102"/>
      <c r="B494" s="105"/>
      <c r="C494" s="111"/>
      <c r="D494" s="70"/>
      <c r="E494" s="62"/>
      <c r="F494" s="68"/>
      <c r="G494" s="68"/>
      <c r="H494" s="109"/>
    </row>
    <row r="495" spans="1:8" hidden="1" x14ac:dyDescent="0.3">
      <c r="A495" s="102"/>
      <c r="B495" s="105"/>
      <c r="C495" s="111"/>
      <c r="D495" s="70"/>
      <c r="E495" s="62"/>
      <c r="F495" s="68"/>
      <c r="G495" s="68"/>
      <c r="H495" s="109"/>
    </row>
    <row r="496" spans="1:8" hidden="1" x14ac:dyDescent="0.3">
      <c r="A496" s="102"/>
      <c r="B496" s="105"/>
      <c r="C496" s="111"/>
      <c r="D496" s="70"/>
      <c r="E496" s="62"/>
      <c r="F496" s="68"/>
      <c r="G496" s="68"/>
      <c r="H496" s="109"/>
    </row>
    <row r="497" spans="1:8" hidden="1" x14ac:dyDescent="0.3">
      <c r="A497" s="102"/>
      <c r="B497" s="105"/>
      <c r="C497" s="111"/>
      <c r="D497" s="70"/>
      <c r="E497" s="62"/>
      <c r="F497" s="68"/>
      <c r="G497" s="68"/>
      <c r="H497" s="109"/>
    </row>
    <row r="498" spans="1:8" hidden="1" x14ac:dyDescent="0.3">
      <c r="A498" s="102"/>
      <c r="B498" s="105"/>
      <c r="C498" s="111"/>
      <c r="D498" s="70"/>
      <c r="E498" s="62"/>
      <c r="F498" s="68"/>
      <c r="G498" s="68"/>
      <c r="H498" s="109"/>
    </row>
    <row r="499" spans="1:8" hidden="1" x14ac:dyDescent="0.3">
      <c r="A499" s="102"/>
      <c r="B499" s="105"/>
      <c r="C499" s="111"/>
      <c r="D499" s="70"/>
      <c r="E499" s="62"/>
      <c r="F499" s="68"/>
      <c r="G499" s="68"/>
      <c r="H499" s="109"/>
    </row>
    <row r="500" spans="1:8" hidden="1" x14ac:dyDescent="0.3">
      <c r="A500" s="102"/>
      <c r="B500" s="105"/>
      <c r="C500" s="111"/>
      <c r="D500" s="70"/>
      <c r="E500" s="62"/>
      <c r="F500" s="68"/>
      <c r="G500" s="68"/>
      <c r="H500" s="109"/>
    </row>
    <row r="501" spans="1:8" hidden="1" x14ac:dyDescent="0.3">
      <c r="A501" s="102"/>
      <c r="B501" s="105"/>
      <c r="C501" s="111"/>
      <c r="D501" s="70"/>
      <c r="E501" s="62"/>
      <c r="F501" s="68"/>
      <c r="G501" s="68"/>
      <c r="H501" s="109"/>
    </row>
    <row r="502" spans="1:8" hidden="1" x14ac:dyDescent="0.3">
      <c r="A502" s="102"/>
      <c r="B502" s="105"/>
      <c r="C502" s="111"/>
      <c r="D502" s="70"/>
      <c r="E502" s="62"/>
      <c r="F502" s="68"/>
      <c r="G502" s="68"/>
      <c r="H502" s="109"/>
    </row>
    <row r="503" spans="1:8" hidden="1" x14ac:dyDescent="0.3">
      <c r="A503" s="102"/>
      <c r="B503" s="105"/>
      <c r="C503" s="111"/>
      <c r="D503" s="70"/>
      <c r="E503" s="62"/>
      <c r="F503" s="68"/>
      <c r="G503" s="68"/>
      <c r="H503" s="109"/>
    </row>
    <row r="504" spans="1:8" hidden="1" x14ac:dyDescent="0.3">
      <c r="A504" s="102"/>
      <c r="B504" s="105"/>
      <c r="C504" s="111"/>
      <c r="D504" s="70"/>
      <c r="E504" s="62"/>
      <c r="F504" s="68"/>
      <c r="G504" s="68"/>
      <c r="H504" s="109"/>
    </row>
    <row r="505" spans="1:8" hidden="1" x14ac:dyDescent="0.3">
      <c r="A505" s="102"/>
      <c r="B505" s="105"/>
      <c r="C505" s="111"/>
      <c r="D505" s="70"/>
      <c r="E505" s="62"/>
      <c r="F505" s="68"/>
      <c r="G505" s="68"/>
      <c r="H505" s="109"/>
    </row>
    <row r="506" spans="1:8" hidden="1" x14ac:dyDescent="0.3">
      <c r="A506" s="102"/>
      <c r="B506" s="105"/>
      <c r="C506" s="111"/>
      <c r="D506" s="70"/>
      <c r="E506" s="62"/>
      <c r="F506" s="68"/>
      <c r="G506" s="68"/>
      <c r="H506" s="109"/>
    </row>
    <row r="507" spans="1:8" hidden="1" x14ac:dyDescent="0.3">
      <c r="A507" s="102"/>
      <c r="B507" s="105"/>
      <c r="C507" s="111"/>
      <c r="D507" s="70"/>
      <c r="E507" s="62"/>
      <c r="F507" s="68"/>
      <c r="G507" s="68"/>
      <c r="H507" s="109"/>
    </row>
    <row r="508" spans="1:8" hidden="1" x14ac:dyDescent="0.3">
      <c r="A508" s="102"/>
      <c r="B508" s="105"/>
      <c r="C508" s="111"/>
      <c r="D508" s="70"/>
      <c r="E508" s="62"/>
      <c r="F508" s="68"/>
      <c r="G508" s="68"/>
      <c r="H508" s="109"/>
    </row>
    <row r="509" spans="1:8" hidden="1" x14ac:dyDescent="0.3">
      <c r="A509" s="102"/>
      <c r="B509" s="105"/>
      <c r="C509" s="111"/>
      <c r="D509" s="70"/>
      <c r="E509" s="62"/>
      <c r="F509" s="68"/>
      <c r="G509" s="68"/>
      <c r="H509" s="109"/>
    </row>
    <row r="510" spans="1:8" hidden="1" x14ac:dyDescent="0.3">
      <c r="A510" s="102"/>
      <c r="B510" s="105"/>
      <c r="C510" s="111"/>
      <c r="D510" s="70"/>
      <c r="E510" s="62"/>
      <c r="F510" s="68"/>
      <c r="G510" s="68"/>
      <c r="H510" s="109"/>
    </row>
    <row r="511" spans="1:8" hidden="1" x14ac:dyDescent="0.3">
      <c r="A511" s="102"/>
      <c r="B511" s="105"/>
      <c r="C511" s="111"/>
      <c r="D511" s="70"/>
      <c r="E511" s="62"/>
      <c r="F511" s="68"/>
      <c r="G511" s="68"/>
      <c r="H511" s="109"/>
    </row>
    <row r="512" spans="1:8" hidden="1" x14ac:dyDescent="0.3">
      <c r="A512" s="102"/>
      <c r="B512" s="105"/>
      <c r="C512" s="111"/>
      <c r="D512" s="70"/>
      <c r="E512" s="62"/>
      <c r="F512" s="68"/>
      <c r="G512" s="68"/>
      <c r="H512" s="109"/>
    </row>
    <row r="513" spans="1:8" hidden="1" x14ac:dyDescent="0.3">
      <c r="A513" s="102"/>
      <c r="B513" s="105"/>
      <c r="C513" s="111"/>
      <c r="D513" s="70"/>
      <c r="E513" s="62"/>
      <c r="F513" s="68"/>
      <c r="G513" s="68"/>
      <c r="H513" s="109"/>
    </row>
    <row r="514" spans="1:8" hidden="1" x14ac:dyDescent="0.3">
      <c r="A514" s="102"/>
      <c r="B514" s="105"/>
      <c r="C514" s="111"/>
      <c r="D514" s="70"/>
      <c r="E514" s="62"/>
      <c r="F514" s="68"/>
      <c r="G514" s="68"/>
      <c r="H514" s="109"/>
    </row>
    <row r="515" spans="1:8" hidden="1" x14ac:dyDescent="0.3">
      <c r="A515" s="102"/>
      <c r="B515" s="105"/>
      <c r="C515" s="111"/>
      <c r="D515" s="70"/>
      <c r="E515" s="62"/>
      <c r="F515" s="68"/>
      <c r="G515" s="68"/>
      <c r="H515" s="109"/>
    </row>
    <row r="516" spans="1:8" hidden="1" x14ac:dyDescent="0.3">
      <c r="A516" s="102"/>
      <c r="B516" s="105"/>
      <c r="C516" s="111"/>
      <c r="D516" s="70"/>
      <c r="E516" s="62"/>
      <c r="F516" s="68"/>
      <c r="G516" s="68"/>
      <c r="H516" s="109"/>
    </row>
    <row r="517" spans="1:8" hidden="1" x14ac:dyDescent="0.3">
      <c r="A517" s="102"/>
      <c r="B517" s="105"/>
      <c r="C517" s="111"/>
      <c r="D517" s="70"/>
      <c r="E517" s="62"/>
      <c r="F517" s="68"/>
      <c r="G517" s="68"/>
      <c r="H517" s="109"/>
    </row>
    <row r="518" spans="1:8" hidden="1" x14ac:dyDescent="0.3">
      <c r="A518" s="102"/>
      <c r="B518" s="105"/>
      <c r="C518" s="111"/>
      <c r="D518" s="70"/>
      <c r="E518" s="62"/>
      <c r="F518" s="68"/>
      <c r="G518" s="68"/>
      <c r="H518" s="109"/>
    </row>
    <row r="519" spans="1:8" hidden="1" x14ac:dyDescent="0.3">
      <c r="A519" s="102"/>
      <c r="B519" s="105"/>
      <c r="C519" s="111"/>
      <c r="D519" s="70"/>
      <c r="E519" s="62"/>
      <c r="F519" s="68"/>
      <c r="G519" s="68"/>
      <c r="H519" s="109"/>
    </row>
    <row r="520" spans="1:8" hidden="1" x14ac:dyDescent="0.3">
      <c r="A520" s="102"/>
      <c r="B520" s="105"/>
      <c r="C520" s="111"/>
      <c r="D520" s="70"/>
      <c r="E520" s="62"/>
      <c r="F520" s="68"/>
      <c r="G520" s="68"/>
      <c r="H520" s="109"/>
    </row>
    <row r="521" spans="1:8" hidden="1" x14ac:dyDescent="0.3">
      <c r="A521" s="102"/>
      <c r="B521" s="105"/>
      <c r="C521" s="111"/>
      <c r="D521" s="70"/>
      <c r="E521" s="62"/>
      <c r="F521" s="68"/>
      <c r="G521" s="68"/>
      <c r="H521" s="109"/>
    </row>
    <row r="522" spans="1:8" hidden="1" x14ac:dyDescent="0.3">
      <c r="A522" s="102"/>
      <c r="B522" s="105"/>
      <c r="C522" s="111"/>
      <c r="D522" s="70"/>
      <c r="E522" s="62"/>
      <c r="F522" s="68"/>
      <c r="G522" s="68"/>
      <c r="H522" s="109"/>
    </row>
    <row r="523" spans="1:8" hidden="1" x14ac:dyDescent="0.3">
      <c r="A523" s="102"/>
      <c r="B523" s="105"/>
      <c r="C523" s="111"/>
      <c r="D523" s="70"/>
      <c r="E523" s="62"/>
      <c r="F523" s="68"/>
      <c r="G523" s="68"/>
      <c r="H523" s="109"/>
    </row>
    <row r="524" spans="1:8" hidden="1" x14ac:dyDescent="0.3">
      <c r="A524" s="102"/>
      <c r="B524" s="105"/>
      <c r="C524" s="111"/>
      <c r="D524" s="70"/>
      <c r="E524" s="62"/>
      <c r="F524" s="68"/>
      <c r="G524" s="68"/>
      <c r="H524" s="109"/>
    </row>
    <row r="525" spans="1:8" hidden="1" x14ac:dyDescent="0.3">
      <c r="A525" s="102"/>
      <c r="B525" s="105"/>
      <c r="C525" s="111"/>
      <c r="D525" s="70"/>
      <c r="E525" s="62"/>
      <c r="F525" s="68"/>
      <c r="G525" s="68"/>
      <c r="H525" s="109"/>
    </row>
    <row r="526" spans="1:8" hidden="1" x14ac:dyDescent="0.3">
      <c r="A526" s="102"/>
      <c r="B526" s="105"/>
      <c r="C526" s="111"/>
      <c r="D526" s="70"/>
      <c r="E526" s="62"/>
      <c r="F526" s="68"/>
      <c r="G526" s="68"/>
      <c r="H526" s="109"/>
    </row>
    <row r="527" spans="1:8" hidden="1" x14ac:dyDescent="0.3">
      <c r="A527" s="102"/>
      <c r="B527" s="105"/>
      <c r="C527" s="111"/>
      <c r="D527" s="70"/>
      <c r="E527" s="62"/>
      <c r="F527" s="68"/>
      <c r="G527" s="68"/>
      <c r="H527" s="109"/>
    </row>
    <row r="528" spans="1:8" hidden="1" x14ac:dyDescent="0.3">
      <c r="A528" s="102"/>
      <c r="B528" s="105"/>
      <c r="C528" s="111"/>
      <c r="D528" s="70"/>
      <c r="E528" s="62"/>
      <c r="F528" s="68"/>
      <c r="G528" s="68"/>
      <c r="H528" s="109"/>
    </row>
    <row r="529" spans="1:8" hidden="1" x14ac:dyDescent="0.3">
      <c r="A529" s="102"/>
      <c r="B529" s="105"/>
      <c r="C529" s="111"/>
      <c r="D529" s="70"/>
      <c r="E529" s="62"/>
      <c r="F529" s="68"/>
      <c r="G529" s="68"/>
      <c r="H529" s="109"/>
    </row>
    <row r="530" spans="1:8" hidden="1" x14ac:dyDescent="0.3">
      <c r="A530" s="102"/>
      <c r="B530" s="105"/>
      <c r="C530" s="111"/>
      <c r="D530" s="70"/>
      <c r="E530" s="62"/>
      <c r="F530" s="68"/>
      <c r="G530" s="68"/>
      <c r="H530" s="109"/>
    </row>
    <row r="531" spans="1:8" hidden="1" x14ac:dyDescent="0.3">
      <c r="A531" s="102"/>
      <c r="B531" s="105"/>
      <c r="C531" s="111"/>
      <c r="D531" s="70"/>
      <c r="E531" s="62"/>
      <c r="F531" s="68"/>
      <c r="G531" s="68"/>
      <c r="H531" s="109"/>
    </row>
    <row r="532" spans="1:8" hidden="1" x14ac:dyDescent="0.3">
      <c r="A532" s="102"/>
      <c r="B532" s="105"/>
      <c r="C532" s="111"/>
      <c r="D532" s="70"/>
      <c r="E532" s="62"/>
      <c r="F532" s="68"/>
      <c r="G532" s="68"/>
      <c r="H532" s="109"/>
    </row>
    <row r="533" spans="1:8" hidden="1" x14ac:dyDescent="0.3">
      <c r="A533" s="102"/>
      <c r="B533" s="105"/>
      <c r="C533" s="111"/>
      <c r="D533" s="70"/>
      <c r="E533" s="62"/>
      <c r="F533" s="68"/>
      <c r="G533" s="68"/>
      <c r="H533" s="109"/>
    </row>
    <row r="534" spans="1:8" hidden="1" x14ac:dyDescent="0.3">
      <c r="A534" s="102"/>
      <c r="B534" s="105"/>
      <c r="C534" s="111"/>
      <c r="D534" s="70"/>
      <c r="E534" s="62"/>
      <c r="F534" s="68"/>
      <c r="G534" s="68"/>
      <c r="H534" s="109"/>
    </row>
    <row r="535" spans="1:8" hidden="1" x14ac:dyDescent="0.3">
      <c r="A535" s="102"/>
      <c r="B535" s="105"/>
      <c r="C535" s="111"/>
      <c r="D535" s="70"/>
      <c r="E535" s="62"/>
      <c r="F535" s="68"/>
      <c r="G535" s="68"/>
      <c r="H535" s="109"/>
    </row>
    <row r="536" spans="1:8" hidden="1" x14ac:dyDescent="0.3">
      <c r="A536" s="102"/>
      <c r="B536" s="105"/>
      <c r="C536" s="111"/>
      <c r="D536" s="70"/>
      <c r="E536" s="62"/>
      <c r="F536" s="68"/>
      <c r="G536" s="68"/>
      <c r="H536" s="109"/>
    </row>
    <row r="537" spans="1:8" hidden="1" x14ac:dyDescent="0.3">
      <c r="A537" s="102"/>
      <c r="B537" s="105"/>
      <c r="C537" s="111"/>
      <c r="D537" s="70"/>
      <c r="E537" s="62"/>
      <c r="F537" s="68"/>
      <c r="G537" s="68"/>
      <c r="H537" s="109"/>
    </row>
    <row r="538" spans="1:8" hidden="1" x14ac:dyDescent="0.3">
      <c r="A538" s="102"/>
      <c r="B538" s="105"/>
      <c r="C538" s="111"/>
      <c r="D538" s="70"/>
      <c r="E538" s="62"/>
      <c r="F538" s="68"/>
      <c r="G538" s="68"/>
      <c r="H538" s="109"/>
    </row>
    <row r="539" spans="1:8" hidden="1" x14ac:dyDescent="0.3">
      <c r="A539" s="102"/>
      <c r="B539" s="105"/>
      <c r="C539" s="111"/>
      <c r="D539" s="70"/>
      <c r="E539" s="62"/>
      <c r="F539" s="68"/>
      <c r="G539" s="68"/>
      <c r="H539" s="109"/>
    </row>
    <row r="540" spans="1:8" hidden="1" x14ac:dyDescent="0.3">
      <c r="A540" s="102"/>
      <c r="B540" s="105"/>
      <c r="C540" s="111"/>
      <c r="D540" s="70"/>
      <c r="E540" s="62"/>
      <c r="F540" s="68"/>
      <c r="G540" s="68"/>
      <c r="H540" s="109"/>
    </row>
    <row r="541" spans="1:8" hidden="1" x14ac:dyDescent="0.3">
      <c r="A541" s="102"/>
      <c r="B541" s="105"/>
      <c r="C541" s="111"/>
      <c r="D541" s="70"/>
      <c r="E541" s="62"/>
      <c r="F541" s="68"/>
      <c r="G541" s="68"/>
      <c r="H541" s="109"/>
    </row>
    <row r="542" spans="1:8" hidden="1" x14ac:dyDescent="0.3">
      <c r="A542" s="102"/>
      <c r="B542" s="105"/>
      <c r="C542" s="111"/>
      <c r="D542" s="70"/>
      <c r="E542" s="62"/>
      <c r="F542" s="68"/>
      <c r="G542" s="68"/>
      <c r="H542" s="109"/>
    </row>
    <row r="543" spans="1:8" hidden="1" x14ac:dyDescent="0.3">
      <c r="A543" s="102"/>
      <c r="B543" s="105"/>
      <c r="C543" s="111"/>
      <c r="D543" s="70"/>
      <c r="E543" s="62"/>
      <c r="F543" s="68"/>
      <c r="G543" s="68"/>
      <c r="H543" s="109"/>
    </row>
    <row r="544" spans="1:8" hidden="1" x14ac:dyDescent="0.3">
      <c r="A544" s="102"/>
      <c r="B544" s="105"/>
      <c r="C544" s="111"/>
      <c r="D544" s="70"/>
      <c r="E544" s="62"/>
      <c r="F544" s="68"/>
      <c r="G544" s="68"/>
      <c r="H544" s="109"/>
    </row>
    <row r="545" spans="1:8" hidden="1" x14ac:dyDescent="0.3">
      <c r="A545" s="102"/>
      <c r="B545" s="105"/>
      <c r="C545" s="111"/>
      <c r="D545" s="70"/>
      <c r="E545" s="62"/>
      <c r="F545" s="68"/>
      <c r="G545" s="68"/>
      <c r="H545" s="109"/>
    </row>
    <row r="546" spans="1:8" hidden="1" x14ac:dyDescent="0.3">
      <c r="A546" s="102"/>
      <c r="B546" s="105"/>
      <c r="C546" s="111"/>
      <c r="D546" s="70"/>
      <c r="E546" s="62"/>
      <c r="F546" s="68"/>
      <c r="G546" s="68"/>
      <c r="H546" s="109"/>
    </row>
    <row r="547" spans="1:8" hidden="1" x14ac:dyDescent="0.3">
      <c r="A547" s="102"/>
      <c r="B547" s="105"/>
      <c r="C547" s="111"/>
      <c r="D547" s="70"/>
      <c r="E547" s="62"/>
      <c r="F547" s="68"/>
      <c r="G547" s="68"/>
      <c r="H547" s="109"/>
    </row>
    <row r="548" spans="1:8" hidden="1" x14ac:dyDescent="0.3">
      <c r="A548" s="102"/>
      <c r="B548" s="105"/>
      <c r="C548" s="111"/>
      <c r="D548" s="70"/>
      <c r="E548" s="62"/>
      <c r="F548" s="68"/>
      <c r="G548" s="68"/>
      <c r="H548" s="109"/>
    </row>
    <row r="549" spans="1:8" hidden="1" x14ac:dyDescent="0.3">
      <c r="A549" s="102"/>
      <c r="B549" s="105"/>
      <c r="C549" s="111"/>
      <c r="D549" s="70"/>
      <c r="E549" s="62"/>
      <c r="F549" s="68"/>
      <c r="G549" s="68"/>
      <c r="H549" s="109"/>
    </row>
    <row r="550" spans="1:8" hidden="1" x14ac:dyDescent="0.3">
      <c r="A550" s="102"/>
      <c r="B550" s="105"/>
      <c r="C550" s="111"/>
      <c r="D550" s="70"/>
      <c r="E550" s="62"/>
      <c r="F550" s="68"/>
      <c r="G550" s="68"/>
      <c r="H550" s="109"/>
    </row>
    <row r="551" spans="1:8" hidden="1" x14ac:dyDescent="0.3">
      <c r="A551" s="102"/>
      <c r="B551" s="105"/>
      <c r="C551" s="111"/>
      <c r="D551" s="70"/>
      <c r="E551" s="62"/>
      <c r="F551" s="68"/>
      <c r="G551" s="68"/>
      <c r="H551" s="109"/>
    </row>
    <row r="552" spans="1:8" hidden="1" x14ac:dyDescent="0.3">
      <c r="A552" s="102"/>
      <c r="B552" s="105"/>
      <c r="C552" s="111"/>
      <c r="D552" s="70"/>
      <c r="E552" s="62"/>
      <c r="F552" s="68"/>
      <c r="G552" s="68"/>
      <c r="H552" s="109"/>
    </row>
    <row r="553" spans="1:8" hidden="1" x14ac:dyDescent="0.3">
      <c r="A553" s="102"/>
      <c r="B553" s="105"/>
      <c r="C553" s="111"/>
      <c r="D553" s="70"/>
      <c r="E553" s="62"/>
      <c r="F553" s="68"/>
      <c r="G553" s="68"/>
      <c r="H553" s="109"/>
    </row>
    <row r="554" spans="1:8" hidden="1" x14ac:dyDescent="0.3">
      <c r="A554" s="102"/>
      <c r="B554" s="105"/>
      <c r="C554" s="111"/>
      <c r="D554" s="70"/>
      <c r="E554" s="62"/>
      <c r="F554" s="68"/>
      <c r="G554" s="68"/>
      <c r="H554" s="109"/>
    </row>
    <row r="555" spans="1:8" hidden="1" x14ac:dyDescent="0.3">
      <c r="A555" s="102"/>
      <c r="B555" s="105"/>
      <c r="C555" s="111"/>
      <c r="D555" s="70"/>
      <c r="E555" s="62"/>
      <c r="F555" s="68"/>
      <c r="G555" s="68"/>
      <c r="H555" s="109"/>
    </row>
    <row r="556" spans="1:8" hidden="1" x14ac:dyDescent="0.3">
      <c r="A556" s="102"/>
      <c r="B556" s="105"/>
      <c r="C556" s="111"/>
      <c r="D556" s="70"/>
      <c r="E556" s="62"/>
      <c r="F556" s="68"/>
      <c r="G556" s="68"/>
      <c r="H556" s="109"/>
    </row>
    <row r="557" spans="1:8" hidden="1" x14ac:dyDescent="0.3">
      <c r="A557" s="102"/>
      <c r="B557" s="105"/>
      <c r="C557" s="111"/>
      <c r="D557" s="70"/>
      <c r="E557" s="62"/>
      <c r="F557" s="68"/>
      <c r="G557" s="68"/>
      <c r="H557" s="109"/>
    </row>
    <row r="558" spans="1:8" hidden="1" x14ac:dyDescent="0.3">
      <c r="A558" s="102"/>
      <c r="B558" s="105"/>
      <c r="C558" s="111"/>
      <c r="D558" s="70"/>
      <c r="E558" s="62"/>
      <c r="F558" s="68"/>
      <c r="G558" s="68"/>
      <c r="H558" s="109"/>
    </row>
    <row r="559" spans="1:8" hidden="1" x14ac:dyDescent="0.3">
      <c r="A559" s="102"/>
      <c r="B559" s="105"/>
      <c r="C559" s="111"/>
      <c r="D559" s="70"/>
      <c r="E559" s="62"/>
      <c r="F559" s="68"/>
      <c r="G559" s="68"/>
      <c r="H559" s="109"/>
    </row>
    <row r="560" spans="1:8" hidden="1" x14ac:dyDescent="0.3">
      <c r="A560" s="102"/>
      <c r="B560" s="105"/>
      <c r="C560" s="111"/>
      <c r="D560" s="70"/>
      <c r="E560" s="62"/>
      <c r="F560" s="68"/>
      <c r="G560" s="68"/>
      <c r="H560" s="109"/>
    </row>
    <row r="561" spans="1:8" hidden="1" x14ac:dyDescent="0.3">
      <c r="A561" s="102"/>
      <c r="B561" s="105"/>
      <c r="C561" s="111"/>
      <c r="D561" s="70"/>
      <c r="E561" s="62"/>
      <c r="F561" s="68"/>
      <c r="G561" s="68"/>
      <c r="H561" s="109"/>
    </row>
    <row r="562" spans="1:8" hidden="1" x14ac:dyDescent="0.3">
      <c r="A562" s="102"/>
      <c r="B562" s="105"/>
      <c r="C562" s="111"/>
      <c r="D562" s="70"/>
      <c r="E562" s="62"/>
      <c r="F562" s="68"/>
      <c r="G562" s="68"/>
      <c r="H562" s="109"/>
    </row>
    <row r="563" spans="1:8" hidden="1" x14ac:dyDescent="0.3">
      <c r="A563" s="102"/>
      <c r="B563" s="105"/>
      <c r="C563" s="111"/>
      <c r="D563" s="70"/>
      <c r="E563" s="62"/>
      <c r="F563" s="68"/>
      <c r="G563" s="68"/>
      <c r="H563" s="109"/>
    </row>
    <row r="564" spans="1:8" hidden="1" x14ac:dyDescent="0.3">
      <c r="A564" s="103"/>
      <c r="B564" s="105"/>
      <c r="C564" s="111"/>
      <c r="D564" s="70"/>
      <c r="E564" s="62"/>
      <c r="F564" s="68"/>
      <c r="G564" s="68"/>
      <c r="H564" s="109"/>
    </row>
    <row r="565" spans="1:8" hidden="1" x14ac:dyDescent="0.3">
      <c r="A565" s="103"/>
      <c r="B565" s="105"/>
      <c r="C565" s="111"/>
      <c r="D565" s="70"/>
      <c r="E565" s="62"/>
      <c r="F565" s="68"/>
      <c r="G565" s="68"/>
      <c r="H565" s="109"/>
    </row>
    <row r="566" spans="1:8" hidden="1" x14ac:dyDescent="0.3">
      <c r="A566" s="103"/>
      <c r="B566" s="105"/>
      <c r="C566" s="111"/>
      <c r="D566" s="70"/>
      <c r="E566" s="62"/>
      <c r="F566" s="68"/>
      <c r="G566" s="68"/>
      <c r="H566" s="109"/>
    </row>
    <row r="567" spans="1:8" hidden="1" x14ac:dyDescent="0.3">
      <c r="A567" s="103"/>
      <c r="B567" s="105"/>
      <c r="C567" s="111"/>
      <c r="D567" s="70"/>
      <c r="E567" s="62"/>
      <c r="F567" s="68"/>
      <c r="G567" s="68"/>
      <c r="H567" s="109"/>
    </row>
    <row r="568" spans="1:8" hidden="1" x14ac:dyDescent="0.3">
      <c r="A568" s="103"/>
      <c r="B568" s="105"/>
      <c r="C568" s="111"/>
      <c r="D568" s="70"/>
      <c r="E568" s="62"/>
      <c r="F568" s="68"/>
      <c r="G568" s="68"/>
      <c r="H568" s="109"/>
    </row>
    <row r="569" spans="1:8" hidden="1" x14ac:dyDescent="0.3">
      <c r="A569" s="103"/>
      <c r="B569" s="105"/>
      <c r="C569" s="111"/>
      <c r="D569" s="70"/>
      <c r="E569" s="62"/>
      <c r="F569" s="68"/>
      <c r="G569" s="68"/>
      <c r="H569" s="109"/>
    </row>
    <row r="570" spans="1:8" hidden="1" x14ac:dyDescent="0.3">
      <c r="A570" s="103"/>
      <c r="B570" s="105"/>
      <c r="C570" s="111"/>
      <c r="D570" s="70"/>
      <c r="E570" s="62"/>
      <c r="F570" s="68"/>
      <c r="G570" s="68"/>
      <c r="H570" s="109"/>
    </row>
    <row r="571" spans="1:8" hidden="1" x14ac:dyDescent="0.3">
      <c r="A571" s="103"/>
      <c r="B571" s="105"/>
      <c r="C571" s="111"/>
      <c r="D571" s="70"/>
      <c r="E571" s="62"/>
      <c r="F571" s="68"/>
      <c r="G571" s="68"/>
      <c r="H571" s="109"/>
    </row>
    <row r="572" spans="1:8" hidden="1" x14ac:dyDescent="0.3">
      <c r="A572" s="103"/>
      <c r="B572" s="105"/>
      <c r="C572" s="111"/>
      <c r="D572" s="70"/>
      <c r="E572" s="62"/>
      <c r="F572" s="68"/>
      <c r="G572" s="68"/>
      <c r="H572" s="109"/>
    </row>
    <row r="573" spans="1:8" hidden="1" x14ac:dyDescent="0.3">
      <c r="A573" s="103"/>
      <c r="B573" s="105"/>
      <c r="C573" s="111"/>
      <c r="D573" s="70"/>
      <c r="E573" s="62"/>
      <c r="F573" s="68"/>
      <c r="G573" s="68"/>
      <c r="H573" s="109"/>
    </row>
    <row r="574" spans="1:8" hidden="1" x14ac:dyDescent="0.3">
      <c r="A574" s="103"/>
      <c r="B574" s="105"/>
      <c r="C574" s="111"/>
      <c r="D574" s="70"/>
      <c r="E574" s="62"/>
      <c r="F574" s="68"/>
      <c r="G574" s="68"/>
      <c r="H574" s="109"/>
    </row>
    <row r="575" spans="1:8" hidden="1" x14ac:dyDescent="0.3">
      <c r="A575" s="103"/>
      <c r="B575" s="105"/>
      <c r="C575" s="111"/>
      <c r="D575" s="70"/>
      <c r="E575" s="62"/>
      <c r="F575" s="68"/>
      <c r="G575" s="68"/>
      <c r="H575" s="109"/>
    </row>
    <row r="576" spans="1:8" hidden="1" x14ac:dyDescent="0.3">
      <c r="A576" s="103"/>
      <c r="B576" s="105"/>
      <c r="C576" s="111"/>
      <c r="D576" s="70"/>
      <c r="E576" s="62"/>
      <c r="F576" s="68"/>
      <c r="G576" s="68"/>
      <c r="H576" s="109"/>
    </row>
    <row r="577" spans="1:8" hidden="1" x14ac:dyDescent="0.3">
      <c r="A577" s="103"/>
      <c r="B577" s="105"/>
      <c r="C577" s="111"/>
      <c r="D577" s="70"/>
      <c r="E577" s="62"/>
      <c r="F577" s="68"/>
      <c r="G577" s="68"/>
      <c r="H577" s="109"/>
    </row>
    <row r="578" spans="1:8" hidden="1" x14ac:dyDescent="0.3">
      <c r="A578" s="103"/>
      <c r="B578" s="105"/>
      <c r="C578" s="111"/>
      <c r="D578" s="70"/>
      <c r="E578" s="62"/>
      <c r="F578" s="68"/>
      <c r="G578" s="68"/>
      <c r="H578" s="109"/>
    </row>
    <row r="579" spans="1:8" hidden="1" x14ac:dyDescent="0.3">
      <c r="A579" s="103"/>
      <c r="B579" s="105"/>
      <c r="C579" s="111"/>
      <c r="D579" s="70"/>
      <c r="E579" s="62"/>
      <c r="F579" s="68"/>
      <c r="G579" s="68"/>
      <c r="H579" s="109"/>
    </row>
    <row r="580" spans="1:8" hidden="1" x14ac:dyDescent="0.3">
      <c r="A580" s="103"/>
      <c r="B580" s="105"/>
      <c r="C580" s="111"/>
      <c r="D580" s="70"/>
      <c r="E580" s="62"/>
      <c r="F580" s="68"/>
      <c r="G580" s="68"/>
      <c r="H580" s="109"/>
    </row>
    <row r="581" spans="1:8" hidden="1" x14ac:dyDescent="0.3">
      <c r="A581" s="103"/>
      <c r="B581" s="105"/>
      <c r="C581" s="111"/>
      <c r="D581" s="70"/>
      <c r="E581" s="62"/>
      <c r="F581" s="68"/>
      <c r="G581" s="68"/>
      <c r="H581" s="109"/>
    </row>
    <row r="582" spans="1:8" hidden="1" x14ac:dyDescent="0.3">
      <c r="A582" s="103"/>
      <c r="B582" s="105"/>
      <c r="C582" s="111"/>
      <c r="D582" s="70"/>
      <c r="E582" s="62"/>
      <c r="F582" s="68"/>
      <c r="G582" s="68"/>
      <c r="H582" s="109"/>
    </row>
    <row r="583" spans="1:8" hidden="1" x14ac:dyDescent="0.3">
      <c r="A583" s="103"/>
      <c r="B583" s="105"/>
      <c r="C583" s="111"/>
      <c r="D583" s="70"/>
      <c r="E583" s="62"/>
      <c r="F583" s="68"/>
      <c r="G583" s="68"/>
      <c r="H583" s="109"/>
    </row>
    <row r="584" spans="1:8" hidden="1" x14ac:dyDescent="0.3">
      <c r="A584" s="103"/>
      <c r="B584" s="105"/>
      <c r="C584" s="111"/>
      <c r="D584" s="70"/>
      <c r="E584" s="62"/>
      <c r="F584" s="68"/>
      <c r="G584" s="68"/>
      <c r="H584" s="109"/>
    </row>
    <row r="585" spans="1:8" hidden="1" x14ac:dyDescent="0.3">
      <c r="A585" s="103"/>
      <c r="B585" s="105"/>
      <c r="C585" s="111"/>
      <c r="D585" s="70"/>
      <c r="E585" s="62"/>
      <c r="F585" s="68"/>
      <c r="G585" s="68"/>
      <c r="H585" s="109"/>
    </row>
    <row r="586" spans="1:8" hidden="1" x14ac:dyDescent="0.3">
      <c r="A586" s="103"/>
      <c r="B586" s="105"/>
      <c r="C586" s="111"/>
      <c r="D586" s="70"/>
      <c r="E586" s="62"/>
      <c r="F586" s="68"/>
      <c r="G586" s="68"/>
      <c r="H586" s="109"/>
    </row>
    <row r="587" spans="1:8" hidden="1" x14ac:dyDescent="0.3">
      <c r="A587" s="103"/>
      <c r="B587" s="105"/>
      <c r="C587" s="111"/>
      <c r="D587" s="70"/>
      <c r="E587" s="62"/>
      <c r="F587" s="68"/>
      <c r="G587" s="68"/>
      <c r="H587" s="109"/>
    </row>
    <row r="588" spans="1:8" hidden="1" x14ac:dyDescent="0.3">
      <c r="A588" s="103"/>
      <c r="B588" s="105"/>
      <c r="C588" s="111"/>
      <c r="D588" s="70"/>
      <c r="E588" s="62"/>
      <c r="F588" s="68"/>
      <c r="G588" s="68"/>
      <c r="H588" s="109"/>
    </row>
    <row r="589" spans="1:8" hidden="1" x14ac:dyDescent="0.3">
      <c r="A589" s="103"/>
      <c r="B589" s="105"/>
      <c r="C589" s="111"/>
      <c r="D589" s="70"/>
      <c r="E589" s="62"/>
      <c r="F589" s="68"/>
      <c r="G589" s="68"/>
      <c r="H589" s="109"/>
    </row>
    <row r="590" spans="1:8" hidden="1" x14ac:dyDescent="0.3">
      <c r="A590" s="103"/>
      <c r="B590" s="105"/>
      <c r="C590" s="111"/>
      <c r="D590" s="70"/>
      <c r="E590" s="62"/>
      <c r="F590" s="68"/>
      <c r="G590" s="68"/>
      <c r="H590" s="109"/>
    </row>
    <row r="591" spans="1:8" hidden="1" x14ac:dyDescent="0.3">
      <c r="A591" s="103"/>
      <c r="B591" s="105"/>
      <c r="C591" s="111"/>
      <c r="D591" s="70"/>
      <c r="E591" s="62"/>
      <c r="F591" s="68"/>
      <c r="G591" s="68"/>
      <c r="H591" s="109"/>
    </row>
    <row r="592" spans="1:8" hidden="1" x14ac:dyDescent="0.3">
      <c r="A592" s="103"/>
      <c r="B592" s="105"/>
      <c r="C592" s="111"/>
      <c r="D592" s="70"/>
      <c r="E592" s="62"/>
      <c r="F592" s="68"/>
      <c r="G592" s="68"/>
      <c r="H592" s="109"/>
    </row>
    <row r="593" spans="1:8" hidden="1" x14ac:dyDescent="0.3">
      <c r="A593" s="103"/>
      <c r="B593" s="105"/>
      <c r="C593" s="111"/>
      <c r="D593" s="70"/>
      <c r="E593" s="62"/>
      <c r="F593" s="68"/>
      <c r="G593" s="68"/>
      <c r="H593" s="109"/>
    </row>
    <row r="594" spans="1:8" hidden="1" x14ac:dyDescent="0.3">
      <c r="A594" s="103"/>
      <c r="B594" s="105"/>
      <c r="C594" s="111"/>
      <c r="D594" s="70"/>
      <c r="E594" s="62"/>
      <c r="F594" s="68"/>
      <c r="G594" s="68"/>
      <c r="H594" s="109"/>
    </row>
    <row r="595" spans="1:8" hidden="1" x14ac:dyDescent="0.3">
      <c r="A595" s="103"/>
      <c r="B595" s="105"/>
      <c r="C595" s="111"/>
      <c r="D595" s="70"/>
      <c r="E595" s="62"/>
      <c r="F595" s="68"/>
      <c r="G595" s="68"/>
      <c r="H595" s="109"/>
    </row>
    <row r="596" spans="1:8" hidden="1" x14ac:dyDescent="0.3">
      <c r="A596" s="103"/>
      <c r="B596" s="105"/>
      <c r="C596" s="111"/>
      <c r="D596" s="70"/>
      <c r="E596" s="62"/>
      <c r="F596" s="68"/>
      <c r="G596" s="68"/>
      <c r="H596" s="109"/>
    </row>
    <row r="597" spans="1:8" hidden="1" x14ac:dyDescent="0.3">
      <c r="A597" s="103"/>
      <c r="B597" s="105"/>
      <c r="C597" s="111"/>
      <c r="D597" s="70"/>
      <c r="E597" s="62"/>
      <c r="F597" s="68"/>
      <c r="G597" s="68"/>
      <c r="H597" s="109"/>
    </row>
    <row r="598" spans="1:8" hidden="1" x14ac:dyDescent="0.3">
      <c r="A598" s="103"/>
      <c r="B598" s="105"/>
      <c r="C598" s="111"/>
      <c r="D598" s="70"/>
      <c r="E598" s="62"/>
      <c r="F598" s="68"/>
      <c r="G598" s="68"/>
      <c r="H598" s="109"/>
    </row>
    <row r="599" spans="1:8" hidden="1" x14ac:dyDescent="0.3">
      <c r="A599" s="103"/>
      <c r="B599" s="105"/>
      <c r="C599" s="111"/>
      <c r="D599" s="70"/>
      <c r="E599" s="62"/>
      <c r="F599" s="68"/>
      <c r="G599" s="68"/>
      <c r="H599" s="109"/>
    </row>
    <row r="600" spans="1:8" hidden="1" x14ac:dyDescent="0.3">
      <c r="A600" s="103"/>
      <c r="B600" s="105"/>
      <c r="C600" s="111"/>
      <c r="D600" s="70"/>
      <c r="E600" s="62"/>
      <c r="F600" s="68"/>
      <c r="G600" s="68"/>
      <c r="H600" s="109"/>
    </row>
    <row r="601" spans="1:8" hidden="1" x14ac:dyDescent="0.3">
      <c r="A601" s="103"/>
      <c r="B601" s="105"/>
      <c r="C601" s="111"/>
      <c r="D601" s="70"/>
      <c r="E601" s="62"/>
      <c r="F601" s="68"/>
      <c r="G601" s="68"/>
      <c r="H601" s="109"/>
    </row>
    <row r="602" spans="1:8" hidden="1" x14ac:dyDescent="0.3">
      <c r="A602" s="103"/>
      <c r="B602" s="105"/>
      <c r="C602" s="111"/>
      <c r="D602" s="70"/>
      <c r="E602" s="62"/>
      <c r="F602" s="68"/>
      <c r="G602" s="68"/>
      <c r="H602" s="109"/>
    </row>
    <row r="603" spans="1:8" hidden="1" x14ac:dyDescent="0.3">
      <c r="A603" s="103"/>
      <c r="B603" s="105"/>
      <c r="C603" s="111"/>
      <c r="D603" s="70"/>
      <c r="E603" s="62"/>
      <c r="F603" s="68"/>
      <c r="G603" s="68"/>
      <c r="H603" s="109"/>
    </row>
    <row r="604" spans="1:8" hidden="1" x14ac:dyDescent="0.3">
      <c r="A604" s="103"/>
      <c r="B604" s="105"/>
      <c r="C604" s="111"/>
      <c r="D604" s="70"/>
      <c r="E604" s="62"/>
      <c r="F604" s="68"/>
      <c r="G604" s="68"/>
      <c r="H604" s="109"/>
    </row>
    <row r="605" spans="1:8" hidden="1" x14ac:dyDescent="0.3">
      <c r="A605" s="103"/>
      <c r="B605" s="105"/>
      <c r="C605" s="111"/>
      <c r="D605" s="70"/>
      <c r="E605" s="62"/>
      <c r="F605" s="68"/>
      <c r="G605" s="68"/>
      <c r="H605" s="109"/>
    </row>
    <row r="606" spans="1:8" hidden="1" x14ac:dyDescent="0.3">
      <c r="A606" s="103"/>
      <c r="B606" s="105"/>
      <c r="C606" s="111"/>
      <c r="D606" s="70"/>
      <c r="E606" s="62"/>
      <c r="F606" s="68"/>
      <c r="G606" s="68"/>
      <c r="H606" s="109"/>
    </row>
    <row r="607" spans="1:8" hidden="1" x14ac:dyDescent="0.3">
      <c r="A607" s="103"/>
      <c r="B607" s="105"/>
      <c r="C607" s="111"/>
      <c r="D607" s="70"/>
      <c r="E607" s="62"/>
      <c r="F607" s="68"/>
      <c r="G607" s="68"/>
      <c r="H607" s="109"/>
    </row>
    <row r="608" spans="1:8" hidden="1" x14ac:dyDescent="0.3">
      <c r="A608" s="103"/>
      <c r="B608" s="105"/>
      <c r="C608" s="111"/>
      <c r="D608" s="70"/>
      <c r="E608" s="62"/>
      <c r="F608" s="68"/>
      <c r="G608" s="68"/>
      <c r="H608" s="109"/>
    </row>
    <row r="609" spans="1:8" hidden="1" x14ac:dyDescent="0.3">
      <c r="A609" s="103"/>
      <c r="B609" s="105"/>
      <c r="C609" s="111"/>
      <c r="D609" s="70"/>
      <c r="E609" s="62"/>
      <c r="F609" s="68"/>
      <c r="G609" s="68"/>
      <c r="H609" s="109"/>
    </row>
    <row r="610" spans="1:8" hidden="1" x14ac:dyDescent="0.3">
      <c r="A610" s="103"/>
      <c r="B610" s="105"/>
      <c r="C610" s="111"/>
      <c r="D610" s="70"/>
      <c r="E610" s="62"/>
      <c r="F610" s="68"/>
      <c r="G610" s="68"/>
      <c r="H610" s="109"/>
    </row>
    <row r="611" spans="1:8" hidden="1" x14ac:dyDescent="0.3">
      <c r="A611" s="103"/>
      <c r="B611" s="105"/>
      <c r="C611" s="111"/>
      <c r="D611" s="70"/>
      <c r="E611" s="62"/>
      <c r="F611" s="68"/>
      <c r="G611" s="68"/>
      <c r="H611" s="109"/>
    </row>
    <row r="612" spans="1:8" hidden="1" x14ac:dyDescent="0.3">
      <c r="A612" s="103"/>
      <c r="B612" s="105"/>
      <c r="C612" s="111"/>
      <c r="D612" s="70"/>
      <c r="E612" s="62"/>
      <c r="F612" s="68"/>
      <c r="G612" s="68"/>
      <c r="H612" s="109"/>
    </row>
    <row r="613" spans="1:8" hidden="1" x14ac:dyDescent="0.3">
      <c r="A613" s="103"/>
      <c r="B613" s="105"/>
      <c r="C613" s="111"/>
      <c r="D613" s="70"/>
      <c r="E613" s="62"/>
      <c r="F613" s="68"/>
      <c r="G613" s="68"/>
      <c r="H613" s="109"/>
    </row>
    <row r="614" spans="1:8" hidden="1" x14ac:dyDescent="0.3">
      <c r="A614" s="103"/>
      <c r="B614" s="105"/>
      <c r="C614" s="111"/>
      <c r="D614" s="70"/>
      <c r="E614" s="62"/>
      <c r="F614" s="68"/>
      <c r="G614" s="68"/>
      <c r="H614" s="109"/>
    </row>
    <row r="615" spans="1:8" hidden="1" x14ac:dyDescent="0.3">
      <c r="A615" s="103"/>
      <c r="B615" s="105"/>
      <c r="C615" s="111"/>
      <c r="D615" s="70"/>
      <c r="E615" s="62"/>
      <c r="F615" s="68"/>
      <c r="G615" s="68"/>
      <c r="H615" s="109"/>
    </row>
    <row r="616" spans="1:8" hidden="1" x14ac:dyDescent="0.3">
      <c r="A616" s="103"/>
      <c r="B616" s="105"/>
      <c r="C616" s="111"/>
      <c r="D616" s="70"/>
      <c r="E616" s="62"/>
      <c r="F616" s="68"/>
      <c r="G616" s="68"/>
      <c r="H616" s="109"/>
    </row>
    <row r="617" spans="1:8" hidden="1" x14ac:dyDescent="0.3">
      <c r="A617" s="103"/>
      <c r="B617" s="105"/>
      <c r="C617" s="111"/>
      <c r="D617" s="70"/>
      <c r="E617" s="62"/>
      <c r="F617" s="68"/>
      <c r="G617" s="68"/>
      <c r="H617" s="109"/>
    </row>
    <row r="618" spans="1:8" hidden="1" x14ac:dyDescent="0.3">
      <c r="A618" s="103"/>
      <c r="B618" s="105"/>
      <c r="C618" s="111"/>
      <c r="D618" s="70"/>
      <c r="E618" s="62"/>
      <c r="F618" s="68"/>
      <c r="G618" s="68"/>
      <c r="H618" s="109"/>
    </row>
    <row r="619" spans="1:8" hidden="1" x14ac:dyDescent="0.3">
      <c r="A619" s="103"/>
      <c r="B619" s="105"/>
      <c r="C619" s="111"/>
      <c r="D619" s="70"/>
      <c r="E619" s="62"/>
      <c r="F619" s="68"/>
      <c r="G619" s="68"/>
      <c r="H619" s="109"/>
    </row>
    <row r="620" spans="1:8" hidden="1" x14ac:dyDescent="0.3">
      <c r="A620" s="103"/>
      <c r="B620" s="105"/>
      <c r="C620" s="111"/>
      <c r="D620" s="70"/>
      <c r="E620" s="62"/>
      <c r="F620" s="68"/>
      <c r="G620" s="68"/>
      <c r="H620" s="109"/>
    </row>
    <row r="621" spans="1:8" hidden="1" x14ac:dyDescent="0.3">
      <c r="A621" s="103"/>
      <c r="B621" s="105"/>
      <c r="C621" s="111"/>
      <c r="D621" s="70"/>
      <c r="E621" s="62"/>
      <c r="F621" s="68"/>
      <c r="G621" s="68"/>
      <c r="H621" s="109"/>
    </row>
    <row r="622" spans="1:8" hidden="1" x14ac:dyDescent="0.3">
      <c r="A622" s="103"/>
      <c r="B622" s="105"/>
      <c r="C622" s="111"/>
      <c r="D622" s="70"/>
      <c r="E622" s="62"/>
      <c r="F622" s="68"/>
      <c r="G622" s="68"/>
      <c r="H622" s="109"/>
    </row>
    <row r="623" spans="1:8" hidden="1" x14ac:dyDescent="0.3">
      <c r="A623" s="103"/>
      <c r="B623" s="105"/>
      <c r="C623" s="111"/>
      <c r="D623" s="70"/>
      <c r="E623" s="62"/>
      <c r="F623" s="68"/>
      <c r="G623" s="68"/>
      <c r="H623" s="109"/>
    </row>
    <row r="624" spans="1:8" hidden="1" x14ac:dyDescent="0.3">
      <c r="A624" s="103"/>
      <c r="B624" s="105"/>
      <c r="C624" s="111"/>
      <c r="D624" s="70"/>
      <c r="E624" s="62"/>
      <c r="F624" s="68"/>
      <c r="G624" s="68"/>
      <c r="H624" s="109"/>
    </row>
    <row r="625" spans="1:8" hidden="1" x14ac:dyDescent="0.3">
      <c r="A625" s="103"/>
      <c r="B625" s="105"/>
      <c r="C625" s="111"/>
      <c r="D625" s="70"/>
      <c r="E625" s="62"/>
      <c r="F625" s="68"/>
      <c r="G625" s="68"/>
      <c r="H625" s="109"/>
    </row>
    <row r="626" spans="1:8" hidden="1" x14ac:dyDescent="0.3">
      <c r="A626" s="103"/>
      <c r="B626" s="105"/>
      <c r="C626" s="111"/>
      <c r="D626" s="70"/>
      <c r="E626" s="62"/>
      <c r="F626" s="68"/>
      <c r="G626" s="68"/>
      <c r="H626" s="109"/>
    </row>
    <row r="627" spans="1:8" hidden="1" x14ac:dyDescent="0.3">
      <c r="A627" s="103"/>
      <c r="B627" s="105"/>
      <c r="C627" s="111"/>
      <c r="D627" s="70"/>
      <c r="E627" s="62"/>
      <c r="F627" s="68"/>
      <c r="G627" s="68"/>
      <c r="H627" s="109"/>
    </row>
    <row r="628" spans="1:8" hidden="1" x14ac:dyDescent="0.3">
      <c r="A628" s="103"/>
      <c r="B628" s="105"/>
      <c r="C628" s="111"/>
      <c r="D628" s="70"/>
      <c r="E628" s="62"/>
      <c r="F628" s="68"/>
      <c r="G628" s="68"/>
      <c r="H628" s="109"/>
    </row>
    <row r="629" spans="1:8" hidden="1" x14ac:dyDescent="0.3">
      <c r="A629" s="103"/>
      <c r="B629" s="105"/>
      <c r="C629" s="111"/>
      <c r="D629" s="70"/>
      <c r="E629" s="62"/>
      <c r="F629" s="68"/>
      <c r="G629" s="68"/>
      <c r="H629" s="109"/>
    </row>
    <row r="630" spans="1:8" hidden="1" x14ac:dyDescent="0.3">
      <c r="A630" s="103"/>
      <c r="B630" s="105"/>
      <c r="C630" s="111"/>
      <c r="D630" s="70"/>
      <c r="E630" s="62"/>
      <c r="F630" s="68"/>
      <c r="G630" s="68"/>
      <c r="H630" s="109"/>
    </row>
    <row r="631" spans="1:8" hidden="1" x14ac:dyDescent="0.3">
      <c r="A631" s="103"/>
      <c r="B631" s="105"/>
      <c r="C631" s="111"/>
      <c r="D631" s="70"/>
      <c r="E631" s="62"/>
      <c r="F631" s="68"/>
      <c r="G631" s="68"/>
      <c r="H631" s="109"/>
    </row>
    <row r="632" spans="1:8" hidden="1" x14ac:dyDescent="0.3">
      <c r="A632" s="103"/>
      <c r="B632" s="105"/>
      <c r="C632" s="111"/>
      <c r="D632" s="70"/>
      <c r="E632" s="62"/>
      <c r="F632" s="68"/>
      <c r="G632" s="68"/>
      <c r="H632" s="109"/>
    </row>
    <row r="633" spans="1:8" hidden="1" x14ac:dyDescent="0.3">
      <c r="A633" s="103"/>
      <c r="B633" s="105"/>
      <c r="C633" s="111"/>
      <c r="D633" s="70"/>
      <c r="E633" s="62"/>
      <c r="F633" s="68"/>
      <c r="G633" s="68"/>
      <c r="H633" s="109"/>
    </row>
    <row r="634" spans="1:8" hidden="1" x14ac:dyDescent="0.3">
      <c r="A634" s="103"/>
      <c r="B634" s="105"/>
      <c r="C634" s="111"/>
      <c r="D634" s="70"/>
      <c r="E634" s="62"/>
      <c r="F634" s="68"/>
      <c r="G634" s="68"/>
      <c r="H634" s="109"/>
    </row>
    <row r="635" spans="1:8" hidden="1" x14ac:dyDescent="0.3">
      <c r="A635" s="103"/>
      <c r="B635" s="105"/>
      <c r="C635" s="111"/>
      <c r="D635" s="70"/>
      <c r="E635" s="62"/>
      <c r="F635" s="68"/>
      <c r="G635" s="68"/>
      <c r="H635" s="109"/>
    </row>
    <row r="636" spans="1:8" hidden="1" x14ac:dyDescent="0.3">
      <c r="A636" s="103"/>
      <c r="B636" s="105"/>
      <c r="C636" s="111"/>
      <c r="D636" s="70"/>
      <c r="E636" s="62"/>
      <c r="F636" s="68"/>
      <c r="G636" s="68"/>
      <c r="H636" s="109"/>
    </row>
    <row r="637" spans="1:8" hidden="1" x14ac:dyDescent="0.3">
      <c r="A637" s="103"/>
      <c r="B637" s="105"/>
      <c r="C637" s="111"/>
      <c r="D637" s="70"/>
      <c r="E637" s="62"/>
      <c r="F637" s="68"/>
      <c r="G637" s="68"/>
      <c r="H637" s="109"/>
    </row>
    <row r="638" spans="1:8" hidden="1" x14ac:dyDescent="0.3">
      <c r="A638" s="103"/>
      <c r="B638" s="105"/>
      <c r="C638" s="111"/>
      <c r="D638" s="70"/>
      <c r="E638" s="62"/>
      <c r="F638" s="68"/>
      <c r="G638" s="68"/>
      <c r="H638" s="109"/>
    </row>
    <row r="639" spans="1:8" hidden="1" x14ac:dyDescent="0.3">
      <c r="A639" s="103"/>
      <c r="B639" s="105"/>
      <c r="C639" s="111"/>
      <c r="D639" s="70"/>
      <c r="E639" s="62"/>
      <c r="F639" s="68"/>
      <c r="G639" s="68"/>
      <c r="H639" s="109"/>
    </row>
    <row r="640" spans="1:8" hidden="1" x14ac:dyDescent="0.3">
      <c r="A640" s="103"/>
      <c r="B640" s="105"/>
      <c r="C640" s="111"/>
      <c r="D640" s="70"/>
      <c r="E640" s="62"/>
      <c r="F640" s="68"/>
      <c r="G640" s="68"/>
      <c r="H640" s="109"/>
    </row>
    <row r="641" spans="1:8" hidden="1" x14ac:dyDescent="0.3">
      <c r="A641" s="103"/>
      <c r="B641" s="105"/>
      <c r="C641" s="111"/>
      <c r="D641" s="70"/>
      <c r="E641" s="62"/>
      <c r="F641" s="68"/>
      <c r="G641" s="68"/>
      <c r="H641" s="109"/>
    </row>
    <row r="642" spans="1:8" hidden="1" x14ac:dyDescent="0.3">
      <c r="A642" s="103"/>
      <c r="B642" s="105"/>
      <c r="C642" s="111"/>
      <c r="D642" s="70"/>
      <c r="E642" s="62"/>
      <c r="F642" s="68"/>
      <c r="G642" s="68"/>
      <c r="H642" s="109"/>
    </row>
    <row r="643" spans="1:8" hidden="1" x14ac:dyDescent="0.3">
      <c r="A643" s="103"/>
      <c r="B643" s="105"/>
      <c r="C643" s="111"/>
      <c r="D643" s="70"/>
      <c r="E643" s="62"/>
      <c r="F643" s="68"/>
      <c r="G643" s="68"/>
      <c r="H643" s="109"/>
    </row>
    <row r="644" spans="1:8" hidden="1" x14ac:dyDescent="0.3">
      <c r="A644" s="103"/>
      <c r="B644" s="105"/>
      <c r="C644" s="111"/>
      <c r="D644" s="70"/>
      <c r="E644" s="62"/>
      <c r="F644" s="68"/>
      <c r="G644" s="68"/>
      <c r="H644" s="109"/>
    </row>
    <row r="645" spans="1:8" hidden="1" x14ac:dyDescent="0.3">
      <c r="A645" s="103"/>
      <c r="B645" s="105"/>
      <c r="C645" s="111"/>
      <c r="D645" s="70"/>
      <c r="E645" s="62"/>
      <c r="F645" s="68"/>
      <c r="G645" s="68"/>
      <c r="H645" s="109"/>
    </row>
    <row r="646" spans="1:8" hidden="1" x14ac:dyDescent="0.3">
      <c r="A646" s="103"/>
      <c r="B646" s="105"/>
      <c r="C646" s="111"/>
      <c r="D646" s="70"/>
      <c r="E646" s="62"/>
      <c r="F646" s="68"/>
      <c r="G646" s="68"/>
      <c r="H646" s="109"/>
    </row>
    <row r="647" spans="1:8" hidden="1" x14ac:dyDescent="0.3">
      <c r="A647" s="103"/>
      <c r="B647" s="105"/>
      <c r="C647" s="111"/>
      <c r="D647" s="70"/>
      <c r="E647" s="62"/>
      <c r="F647" s="68"/>
      <c r="G647" s="68"/>
      <c r="H647" s="109"/>
    </row>
    <row r="648" spans="1:8" hidden="1" x14ac:dyDescent="0.3">
      <c r="A648" s="103"/>
      <c r="B648" s="105"/>
      <c r="C648" s="111"/>
      <c r="D648" s="70"/>
      <c r="E648" s="62"/>
      <c r="F648" s="68"/>
      <c r="G648" s="68"/>
      <c r="H648" s="109"/>
    </row>
    <row r="649" spans="1:8" hidden="1" x14ac:dyDescent="0.3">
      <c r="A649" s="103"/>
      <c r="B649" s="105"/>
      <c r="C649" s="111"/>
      <c r="D649" s="70"/>
      <c r="E649" s="62"/>
      <c r="F649" s="68"/>
      <c r="G649" s="68"/>
      <c r="H649" s="109"/>
    </row>
    <row r="650" spans="1:8" hidden="1" x14ac:dyDescent="0.3">
      <c r="A650" s="103"/>
      <c r="B650" s="105"/>
      <c r="C650" s="111"/>
      <c r="D650" s="70"/>
      <c r="E650" s="62"/>
      <c r="F650" s="68"/>
      <c r="G650" s="68"/>
      <c r="H650" s="109"/>
    </row>
    <row r="651" spans="1:8" hidden="1" x14ac:dyDescent="0.3">
      <c r="A651" s="103"/>
      <c r="B651" s="105"/>
      <c r="C651" s="111"/>
      <c r="D651" s="70"/>
      <c r="E651" s="62"/>
      <c r="F651" s="68"/>
      <c r="G651" s="68"/>
      <c r="H651" s="109"/>
    </row>
    <row r="652" spans="1:8" hidden="1" x14ac:dyDescent="0.3">
      <c r="A652" s="103"/>
      <c r="B652" s="105"/>
      <c r="C652" s="111"/>
      <c r="D652" s="70"/>
      <c r="E652" s="62"/>
      <c r="F652" s="68"/>
      <c r="G652" s="68"/>
      <c r="H652" s="109"/>
    </row>
    <row r="653" spans="1:8" hidden="1" x14ac:dyDescent="0.3">
      <c r="A653" s="103"/>
      <c r="B653" s="105"/>
      <c r="C653" s="111"/>
      <c r="D653" s="70"/>
      <c r="E653" s="62"/>
      <c r="F653" s="68"/>
      <c r="G653" s="68"/>
      <c r="H653" s="109"/>
    </row>
    <row r="654" spans="1:8" hidden="1" x14ac:dyDescent="0.3">
      <c r="A654" s="103"/>
      <c r="B654" s="105"/>
      <c r="C654" s="111"/>
      <c r="D654" s="70"/>
      <c r="E654" s="62"/>
      <c r="F654" s="68"/>
      <c r="G654" s="68"/>
      <c r="H654" s="109"/>
    </row>
    <row r="655" spans="1:8" hidden="1" x14ac:dyDescent="0.3">
      <c r="A655" s="103"/>
      <c r="B655" s="105"/>
      <c r="C655" s="111"/>
      <c r="D655" s="70"/>
      <c r="E655" s="62"/>
      <c r="F655" s="68"/>
      <c r="G655" s="68"/>
      <c r="H655" s="109"/>
    </row>
    <row r="656" spans="1:8" hidden="1" x14ac:dyDescent="0.3">
      <c r="A656" s="103"/>
      <c r="B656" s="105"/>
      <c r="C656" s="111"/>
      <c r="D656" s="70"/>
      <c r="E656" s="62"/>
      <c r="F656" s="68"/>
      <c r="G656" s="68"/>
      <c r="H656" s="109"/>
    </row>
    <row r="657" spans="1:8" hidden="1" x14ac:dyDescent="0.3">
      <c r="A657" s="103"/>
      <c r="B657" s="105"/>
      <c r="C657" s="111"/>
      <c r="D657" s="70"/>
      <c r="E657" s="62"/>
      <c r="F657" s="68"/>
      <c r="G657" s="68"/>
      <c r="H657" s="109"/>
    </row>
    <row r="658" spans="1:8" hidden="1" x14ac:dyDescent="0.3">
      <c r="A658" s="103"/>
      <c r="B658" s="105"/>
      <c r="C658" s="111"/>
      <c r="D658" s="70"/>
      <c r="E658" s="62"/>
      <c r="F658" s="68"/>
      <c r="G658" s="68"/>
      <c r="H658" s="109"/>
    </row>
    <row r="659" spans="1:8" hidden="1" x14ac:dyDescent="0.3">
      <c r="A659" s="103"/>
      <c r="B659" s="105"/>
      <c r="C659" s="111"/>
      <c r="D659" s="70"/>
      <c r="E659" s="62"/>
      <c r="F659" s="68"/>
      <c r="G659" s="68"/>
      <c r="H659" s="109"/>
    </row>
    <row r="660" spans="1:8" hidden="1" x14ac:dyDescent="0.3">
      <c r="A660" s="103"/>
      <c r="B660" s="105"/>
      <c r="C660" s="111"/>
      <c r="D660" s="70"/>
      <c r="E660" s="62"/>
      <c r="F660" s="68"/>
      <c r="G660" s="68"/>
      <c r="H660" s="109"/>
    </row>
    <row r="661" spans="1:8" hidden="1" x14ac:dyDescent="0.3">
      <c r="A661" s="103"/>
      <c r="B661" s="105"/>
      <c r="C661" s="111"/>
      <c r="D661" s="70"/>
      <c r="E661" s="62"/>
      <c r="F661" s="68"/>
      <c r="G661" s="68"/>
      <c r="H661" s="109"/>
    </row>
    <row r="662" spans="1:8" hidden="1" x14ac:dyDescent="0.3">
      <c r="A662" s="103"/>
      <c r="B662" s="105"/>
      <c r="C662" s="111"/>
      <c r="D662" s="70"/>
      <c r="E662" s="62"/>
      <c r="F662" s="68"/>
      <c r="G662" s="68"/>
      <c r="H662" s="109"/>
    </row>
    <row r="663" spans="1:8" hidden="1" x14ac:dyDescent="0.3">
      <c r="A663" s="103"/>
      <c r="B663" s="105"/>
      <c r="C663" s="111"/>
      <c r="D663" s="70"/>
      <c r="E663" s="62"/>
      <c r="F663" s="68"/>
      <c r="G663" s="68"/>
      <c r="H663" s="109"/>
    </row>
    <row r="664" spans="1:8" hidden="1" x14ac:dyDescent="0.3">
      <c r="A664" s="103"/>
      <c r="B664" s="105"/>
      <c r="C664" s="111"/>
      <c r="D664" s="70"/>
      <c r="E664" s="62"/>
      <c r="F664" s="68"/>
      <c r="G664" s="68"/>
      <c r="H664" s="109"/>
    </row>
    <row r="665" spans="1:8" hidden="1" x14ac:dyDescent="0.3">
      <c r="A665" s="103"/>
      <c r="B665" s="105"/>
      <c r="C665" s="111"/>
      <c r="D665" s="70"/>
      <c r="E665" s="62"/>
      <c r="F665" s="68"/>
      <c r="G665" s="68"/>
      <c r="H665" s="109"/>
    </row>
    <row r="666" spans="1:8" hidden="1" x14ac:dyDescent="0.3">
      <c r="A666" s="103"/>
      <c r="B666" s="105"/>
      <c r="C666" s="111"/>
      <c r="D666" s="70"/>
      <c r="E666" s="62"/>
      <c r="F666" s="68"/>
      <c r="G666" s="68"/>
      <c r="H666" s="109"/>
    </row>
    <row r="667" spans="1:8" hidden="1" x14ac:dyDescent="0.3">
      <c r="A667" s="103"/>
      <c r="B667" s="105"/>
      <c r="C667" s="111"/>
      <c r="D667" s="70"/>
      <c r="E667" s="62"/>
      <c r="F667" s="68"/>
      <c r="G667" s="68"/>
      <c r="H667" s="109"/>
    </row>
    <row r="668" spans="1:8" hidden="1" x14ac:dyDescent="0.3">
      <c r="A668" s="103"/>
      <c r="B668" s="105"/>
      <c r="C668" s="111"/>
      <c r="D668" s="70"/>
      <c r="E668" s="62"/>
      <c r="F668" s="68"/>
      <c r="G668" s="68"/>
      <c r="H668" s="109"/>
    </row>
    <row r="669" spans="1:8" hidden="1" x14ac:dyDescent="0.3">
      <c r="A669" s="103"/>
      <c r="B669" s="105"/>
      <c r="C669" s="111"/>
      <c r="D669" s="70"/>
      <c r="E669" s="62"/>
      <c r="F669" s="68"/>
      <c r="G669" s="68"/>
      <c r="H669" s="109"/>
    </row>
    <row r="670" spans="1:8" hidden="1" x14ac:dyDescent="0.3">
      <c r="A670" s="103"/>
      <c r="B670" s="105"/>
      <c r="C670" s="111"/>
      <c r="D670" s="70"/>
      <c r="E670" s="62"/>
      <c r="F670" s="68"/>
      <c r="G670" s="68"/>
      <c r="H670" s="109"/>
    </row>
    <row r="671" spans="1:8" hidden="1" x14ac:dyDescent="0.3">
      <c r="A671" s="103"/>
      <c r="B671" s="105"/>
      <c r="C671" s="111"/>
      <c r="D671" s="70"/>
      <c r="E671" s="62"/>
      <c r="F671" s="68"/>
      <c r="G671" s="68"/>
      <c r="H671" s="109"/>
    </row>
    <row r="672" spans="1:8" hidden="1" x14ac:dyDescent="0.3">
      <c r="A672" s="103"/>
      <c r="B672" s="105"/>
      <c r="C672" s="111"/>
      <c r="D672" s="70"/>
      <c r="E672" s="62"/>
      <c r="F672" s="68"/>
      <c r="G672" s="68"/>
      <c r="H672" s="109"/>
    </row>
    <row r="673" spans="1:8" hidden="1" x14ac:dyDescent="0.3">
      <c r="A673" s="103"/>
      <c r="B673" s="105"/>
      <c r="C673" s="111"/>
      <c r="D673" s="70"/>
      <c r="E673" s="62"/>
      <c r="F673" s="68"/>
      <c r="G673" s="68"/>
      <c r="H673" s="109"/>
    </row>
    <row r="674" spans="1:8" hidden="1" x14ac:dyDescent="0.3">
      <c r="A674" s="103"/>
      <c r="B674" s="105"/>
      <c r="C674" s="111"/>
      <c r="D674" s="70"/>
      <c r="E674" s="62"/>
      <c r="F674" s="68"/>
      <c r="G674" s="68"/>
      <c r="H674" s="109"/>
    </row>
    <row r="675" spans="1:8" hidden="1" x14ac:dyDescent="0.3">
      <c r="A675" s="103"/>
      <c r="B675" s="105"/>
      <c r="C675" s="111"/>
      <c r="D675" s="70"/>
      <c r="E675" s="62"/>
      <c r="F675" s="68"/>
      <c r="G675" s="68"/>
      <c r="H675" s="109"/>
    </row>
    <row r="676" spans="1:8" hidden="1" x14ac:dyDescent="0.3">
      <c r="A676" s="103"/>
      <c r="B676" s="105"/>
      <c r="C676" s="111"/>
      <c r="D676" s="70"/>
      <c r="E676" s="62"/>
      <c r="F676" s="68"/>
      <c r="G676" s="68"/>
      <c r="H676" s="109"/>
    </row>
    <row r="677" spans="1:8" hidden="1" x14ac:dyDescent="0.3">
      <c r="A677" s="103"/>
      <c r="B677" s="105"/>
      <c r="C677" s="111"/>
      <c r="D677" s="70"/>
      <c r="E677" s="62"/>
      <c r="F677" s="68"/>
      <c r="G677" s="68"/>
      <c r="H677" s="109"/>
    </row>
    <row r="678" spans="1:8" hidden="1" x14ac:dyDescent="0.3">
      <c r="A678" s="103"/>
      <c r="B678" s="105"/>
      <c r="C678" s="111"/>
      <c r="D678" s="70"/>
      <c r="E678" s="62"/>
      <c r="F678" s="68"/>
      <c r="G678" s="68"/>
      <c r="H678" s="109"/>
    </row>
    <row r="679" spans="1:8" hidden="1" x14ac:dyDescent="0.3">
      <c r="A679" s="103"/>
      <c r="B679" s="105"/>
      <c r="C679" s="111"/>
      <c r="D679" s="70"/>
      <c r="E679" s="62"/>
      <c r="F679" s="68"/>
      <c r="G679" s="68"/>
      <c r="H679" s="109"/>
    </row>
    <row r="680" spans="1:8" hidden="1" x14ac:dyDescent="0.3">
      <c r="A680" s="103"/>
      <c r="B680" s="105"/>
      <c r="C680" s="111"/>
      <c r="D680" s="70"/>
      <c r="E680" s="62"/>
      <c r="F680" s="68"/>
      <c r="G680" s="68"/>
      <c r="H680" s="109"/>
    </row>
    <row r="681" spans="1:8" hidden="1" x14ac:dyDescent="0.3">
      <c r="A681" s="103"/>
      <c r="B681" s="105"/>
      <c r="C681" s="111"/>
      <c r="D681" s="70"/>
      <c r="E681" s="62"/>
      <c r="F681" s="68"/>
      <c r="G681" s="68"/>
      <c r="H681" s="109"/>
    </row>
    <row r="682" spans="1:8" hidden="1" x14ac:dyDescent="0.3">
      <c r="A682" s="103"/>
      <c r="B682" s="105"/>
      <c r="C682" s="111"/>
      <c r="D682" s="70"/>
      <c r="E682" s="62"/>
      <c r="F682" s="68"/>
      <c r="G682" s="68"/>
      <c r="H682" s="109"/>
    </row>
    <row r="683" spans="1:8" hidden="1" x14ac:dyDescent="0.3">
      <c r="A683" s="103"/>
      <c r="B683" s="105"/>
      <c r="C683" s="111"/>
      <c r="D683" s="70"/>
      <c r="E683" s="62"/>
      <c r="F683" s="68"/>
      <c r="G683" s="68"/>
      <c r="H683" s="109"/>
    </row>
    <row r="684" spans="1:8" hidden="1" x14ac:dyDescent="0.3">
      <c r="A684" s="103"/>
      <c r="B684" s="105"/>
      <c r="C684" s="111"/>
      <c r="D684" s="70"/>
      <c r="E684" s="62"/>
      <c r="F684" s="68"/>
      <c r="G684" s="68"/>
      <c r="H684" s="109"/>
    </row>
    <row r="685" spans="1:8" hidden="1" x14ac:dyDescent="0.3">
      <c r="A685" s="103"/>
      <c r="B685" s="105"/>
      <c r="C685" s="111"/>
      <c r="D685" s="70"/>
      <c r="E685" s="62"/>
      <c r="F685" s="68"/>
      <c r="G685" s="68"/>
      <c r="H685" s="109"/>
    </row>
    <row r="686" spans="1:8" hidden="1" x14ac:dyDescent="0.3">
      <c r="A686" s="103"/>
      <c r="B686" s="105"/>
      <c r="C686" s="111"/>
      <c r="D686" s="70"/>
      <c r="E686" s="62"/>
      <c r="F686" s="68"/>
      <c r="G686" s="68"/>
      <c r="H686" s="109"/>
    </row>
    <row r="687" spans="1:8" hidden="1" x14ac:dyDescent="0.3">
      <c r="A687" s="103"/>
      <c r="B687" s="105"/>
      <c r="C687" s="111"/>
      <c r="D687" s="70"/>
      <c r="E687" s="62"/>
      <c r="F687" s="68"/>
      <c r="G687" s="68"/>
      <c r="H687" s="109"/>
    </row>
    <row r="688" spans="1:8" hidden="1" x14ac:dyDescent="0.3">
      <c r="A688" s="103"/>
      <c r="B688" s="105"/>
      <c r="C688" s="111"/>
      <c r="D688" s="70"/>
      <c r="E688" s="62"/>
      <c r="F688" s="68"/>
      <c r="G688" s="68"/>
      <c r="H688" s="109"/>
    </row>
    <row r="689" spans="1:8" hidden="1" x14ac:dyDescent="0.3">
      <c r="A689" s="103"/>
      <c r="B689" s="105"/>
      <c r="C689" s="111"/>
      <c r="D689" s="70"/>
      <c r="E689" s="62"/>
      <c r="F689" s="68"/>
      <c r="G689" s="68"/>
      <c r="H689" s="109"/>
    </row>
    <row r="690" spans="1:8" hidden="1" x14ac:dyDescent="0.3">
      <c r="A690" s="103"/>
      <c r="B690" s="105"/>
      <c r="C690" s="111"/>
      <c r="D690" s="70"/>
      <c r="E690" s="62"/>
      <c r="F690" s="68"/>
      <c r="G690" s="68"/>
      <c r="H690" s="109"/>
    </row>
    <row r="691" spans="1:8" hidden="1" x14ac:dyDescent="0.3">
      <c r="A691" s="103"/>
      <c r="B691" s="105"/>
      <c r="C691" s="111"/>
      <c r="D691" s="70"/>
      <c r="E691" s="62"/>
      <c r="F691" s="68"/>
      <c r="G691" s="68"/>
      <c r="H691" s="109"/>
    </row>
    <row r="692" spans="1:8" hidden="1" x14ac:dyDescent="0.3">
      <c r="A692" s="103"/>
      <c r="B692" s="105"/>
      <c r="C692" s="111"/>
      <c r="D692" s="70"/>
      <c r="E692" s="62"/>
      <c r="F692" s="68"/>
      <c r="G692" s="68"/>
      <c r="H692" s="109"/>
    </row>
    <row r="693" spans="1:8" hidden="1" x14ac:dyDescent="0.3">
      <c r="A693" s="103"/>
      <c r="B693" s="105"/>
      <c r="C693" s="111"/>
      <c r="D693" s="70"/>
      <c r="E693" s="62"/>
      <c r="F693" s="68"/>
      <c r="G693" s="68"/>
      <c r="H693" s="109"/>
    </row>
    <row r="694" spans="1:8" hidden="1" x14ac:dyDescent="0.3">
      <c r="A694" s="103"/>
      <c r="B694" s="105"/>
      <c r="C694" s="111"/>
      <c r="D694" s="70"/>
      <c r="E694" s="62"/>
      <c r="F694" s="68"/>
      <c r="G694" s="68"/>
      <c r="H694" s="109"/>
    </row>
    <row r="695" spans="1:8" hidden="1" x14ac:dyDescent="0.3">
      <c r="A695" s="103"/>
      <c r="B695" s="105"/>
      <c r="C695" s="111"/>
      <c r="D695" s="70"/>
      <c r="E695" s="62"/>
      <c r="F695" s="68"/>
      <c r="G695" s="68"/>
      <c r="H695" s="109"/>
    </row>
    <row r="696" spans="1:8" hidden="1" x14ac:dyDescent="0.3">
      <c r="A696" s="103"/>
      <c r="B696" s="105"/>
      <c r="C696" s="111"/>
      <c r="D696" s="70"/>
      <c r="E696" s="62"/>
      <c r="F696" s="68"/>
      <c r="G696" s="68"/>
      <c r="H696" s="109"/>
    </row>
    <row r="697" spans="1:8" hidden="1" x14ac:dyDescent="0.3">
      <c r="A697" s="103"/>
      <c r="B697" s="105"/>
      <c r="C697" s="111"/>
      <c r="D697" s="70"/>
      <c r="E697" s="62"/>
      <c r="F697" s="68"/>
      <c r="G697" s="68"/>
      <c r="H697" s="109"/>
    </row>
    <row r="698" spans="1:8" hidden="1" x14ac:dyDescent="0.3">
      <c r="A698" s="103"/>
      <c r="B698" s="105"/>
      <c r="C698" s="111"/>
      <c r="D698" s="70"/>
      <c r="E698" s="62"/>
      <c r="F698" s="68"/>
      <c r="G698" s="68"/>
      <c r="H698" s="109"/>
    </row>
    <row r="699" spans="1:8" hidden="1" x14ac:dyDescent="0.3">
      <c r="A699" s="103"/>
      <c r="B699" s="105"/>
      <c r="C699" s="111"/>
      <c r="D699" s="70"/>
      <c r="E699" s="62"/>
      <c r="F699" s="68"/>
      <c r="G699" s="68"/>
      <c r="H699" s="109"/>
    </row>
    <row r="700" spans="1:8" hidden="1" x14ac:dyDescent="0.3">
      <c r="A700" s="103"/>
      <c r="B700" s="105"/>
      <c r="C700" s="111"/>
      <c r="D700" s="70"/>
      <c r="E700" s="62"/>
      <c r="F700" s="68"/>
      <c r="G700" s="68"/>
      <c r="H700" s="109"/>
    </row>
    <row r="701" spans="1:8" hidden="1" x14ac:dyDescent="0.3">
      <c r="A701" s="103"/>
      <c r="B701" s="105"/>
      <c r="C701" s="111"/>
      <c r="D701" s="70"/>
      <c r="E701" s="62"/>
      <c r="F701" s="68"/>
      <c r="G701" s="68"/>
      <c r="H701" s="109"/>
    </row>
    <row r="702" spans="1:8" hidden="1" x14ac:dyDescent="0.3">
      <c r="A702" s="103"/>
      <c r="B702" s="105"/>
      <c r="C702" s="111"/>
      <c r="D702" s="70"/>
      <c r="E702" s="62"/>
      <c r="F702" s="68"/>
      <c r="G702" s="68"/>
      <c r="H702" s="109"/>
    </row>
    <row r="703" spans="1:8" hidden="1" x14ac:dyDescent="0.3">
      <c r="A703" s="103"/>
      <c r="B703" s="105"/>
      <c r="C703" s="111"/>
      <c r="D703" s="70"/>
      <c r="E703" s="62"/>
      <c r="F703" s="68"/>
      <c r="G703" s="68"/>
      <c r="H703" s="109"/>
    </row>
    <row r="704" spans="1:8" hidden="1" x14ac:dyDescent="0.3">
      <c r="A704" s="103"/>
      <c r="B704" s="105"/>
      <c r="C704" s="111"/>
      <c r="D704" s="70"/>
      <c r="E704" s="62"/>
      <c r="F704" s="68"/>
      <c r="G704" s="68"/>
      <c r="H704" s="109"/>
    </row>
    <row r="705" spans="1:8" hidden="1" x14ac:dyDescent="0.3">
      <c r="A705" s="103"/>
      <c r="B705" s="105"/>
      <c r="C705" s="111"/>
      <c r="D705" s="70"/>
      <c r="E705" s="62"/>
      <c r="F705" s="68"/>
      <c r="G705" s="68"/>
      <c r="H705" s="109"/>
    </row>
    <row r="706" spans="1:8" hidden="1" x14ac:dyDescent="0.3">
      <c r="A706" s="103"/>
      <c r="B706" s="105"/>
      <c r="C706" s="111"/>
      <c r="D706" s="70"/>
      <c r="E706" s="62"/>
      <c r="F706" s="68"/>
      <c r="G706" s="68"/>
      <c r="H706" s="109"/>
    </row>
    <row r="707" spans="1:8" hidden="1" x14ac:dyDescent="0.3">
      <c r="A707" s="103"/>
      <c r="B707" s="105"/>
      <c r="C707" s="111"/>
      <c r="D707" s="70"/>
      <c r="E707" s="62"/>
      <c r="F707" s="68"/>
      <c r="G707" s="68"/>
      <c r="H707" s="109"/>
    </row>
    <row r="708" spans="1:8" hidden="1" x14ac:dyDescent="0.3">
      <c r="A708" s="103"/>
      <c r="B708" s="105"/>
      <c r="C708" s="111"/>
      <c r="D708" s="70"/>
      <c r="E708" s="62"/>
      <c r="F708" s="68"/>
      <c r="G708" s="68"/>
      <c r="H708" s="109"/>
    </row>
    <row r="709" spans="1:8" hidden="1" x14ac:dyDescent="0.3">
      <c r="A709" s="103"/>
      <c r="B709" s="105"/>
      <c r="C709" s="111"/>
      <c r="D709" s="70"/>
      <c r="E709" s="62"/>
      <c r="F709" s="68"/>
      <c r="G709" s="68"/>
      <c r="H709" s="109"/>
    </row>
    <row r="710" spans="1:8" hidden="1" x14ac:dyDescent="0.3">
      <c r="A710" s="103"/>
      <c r="B710" s="105"/>
      <c r="C710" s="111"/>
      <c r="D710" s="70"/>
      <c r="E710" s="62"/>
      <c r="F710" s="68"/>
      <c r="G710" s="68"/>
      <c r="H710" s="109"/>
    </row>
    <row r="711" spans="1:8" hidden="1" x14ac:dyDescent="0.3">
      <c r="A711" s="103"/>
      <c r="B711" s="105"/>
      <c r="C711" s="111"/>
      <c r="D711" s="70"/>
      <c r="E711" s="62"/>
      <c r="F711" s="68"/>
      <c r="G711" s="68"/>
      <c r="H711" s="109"/>
    </row>
    <row r="712" spans="1:8" hidden="1" x14ac:dyDescent="0.3">
      <c r="A712" s="103"/>
      <c r="B712" s="105"/>
      <c r="C712" s="111"/>
      <c r="D712" s="70"/>
      <c r="E712" s="62"/>
      <c r="F712" s="68"/>
      <c r="G712" s="68"/>
      <c r="H712" s="109"/>
    </row>
    <row r="713" spans="1:8" hidden="1" x14ac:dyDescent="0.3">
      <c r="A713" s="103"/>
      <c r="B713" s="105"/>
      <c r="C713" s="111"/>
      <c r="D713" s="70"/>
      <c r="E713" s="62"/>
      <c r="F713" s="68"/>
      <c r="G713" s="68"/>
      <c r="H713" s="109"/>
    </row>
    <row r="714" spans="1:8" hidden="1" x14ac:dyDescent="0.3">
      <c r="A714" s="103"/>
      <c r="B714" s="105"/>
      <c r="C714" s="111"/>
      <c r="D714" s="70"/>
      <c r="E714" s="62"/>
      <c r="F714" s="68"/>
      <c r="G714" s="68"/>
      <c r="H714" s="109"/>
    </row>
    <row r="715" spans="1:8" hidden="1" x14ac:dyDescent="0.3">
      <c r="A715" s="103"/>
      <c r="B715" s="105"/>
      <c r="C715" s="111"/>
      <c r="D715" s="70"/>
      <c r="E715" s="62"/>
      <c r="F715" s="68"/>
      <c r="G715" s="68"/>
      <c r="H715" s="109"/>
    </row>
    <row r="716" spans="1:8" hidden="1" x14ac:dyDescent="0.3">
      <c r="A716" s="103"/>
      <c r="B716" s="105"/>
      <c r="C716" s="111"/>
      <c r="D716" s="70"/>
      <c r="E716" s="62"/>
      <c r="F716" s="68"/>
      <c r="G716" s="68"/>
      <c r="H716" s="109"/>
    </row>
    <row r="717" spans="1:8" hidden="1" x14ac:dyDescent="0.3">
      <c r="A717" s="103"/>
      <c r="B717" s="105"/>
      <c r="C717" s="111"/>
      <c r="D717" s="70"/>
      <c r="E717" s="62"/>
      <c r="F717" s="68"/>
      <c r="G717" s="68"/>
      <c r="H717" s="109"/>
    </row>
    <row r="718" spans="1:8" hidden="1" x14ac:dyDescent="0.3">
      <c r="A718" s="103"/>
      <c r="B718" s="105"/>
      <c r="C718" s="111"/>
      <c r="D718" s="70"/>
      <c r="E718" s="62"/>
      <c r="F718" s="68"/>
      <c r="G718" s="68"/>
      <c r="H718" s="109"/>
    </row>
    <row r="719" spans="1:8" hidden="1" x14ac:dyDescent="0.3">
      <c r="A719" s="103"/>
      <c r="B719" s="105"/>
      <c r="C719" s="111"/>
      <c r="D719" s="70"/>
      <c r="E719" s="62"/>
      <c r="F719" s="68"/>
      <c r="G719" s="68"/>
      <c r="H719" s="109"/>
    </row>
    <row r="720" spans="1:8" hidden="1" x14ac:dyDescent="0.3">
      <c r="A720" s="103"/>
      <c r="B720" s="105"/>
      <c r="C720" s="111"/>
      <c r="D720" s="70"/>
      <c r="E720" s="62"/>
      <c r="F720" s="68"/>
      <c r="G720" s="68"/>
      <c r="H720" s="109"/>
    </row>
    <row r="721" spans="1:8" hidden="1" x14ac:dyDescent="0.3">
      <c r="A721" s="103"/>
      <c r="B721" s="105"/>
      <c r="C721" s="111"/>
      <c r="D721" s="70"/>
      <c r="E721" s="62"/>
      <c r="F721" s="68"/>
      <c r="G721" s="68"/>
      <c r="H721" s="109"/>
    </row>
    <row r="722" spans="1:8" hidden="1" x14ac:dyDescent="0.3">
      <c r="A722" s="103"/>
      <c r="B722" s="105"/>
      <c r="C722" s="111"/>
      <c r="D722" s="70"/>
      <c r="E722" s="62"/>
      <c r="F722" s="68"/>
      <c r="G722" s="68"/>
      <c r="H722" s="109"/>
    </row>
    <row r="723" spans="1:8" hidden="1" x14ac:dyDescent="0.3">
      <c r="A723" s="103"/>
      <c r="B723" s="105"/>
      <c r="C723" s="111"/>
      <c r="D723" s="70"/>
      <c r="E723" s="62"/>
      <c r="F723" s="68"/>
      <c r="G723" s="68"/>
      <c r="H723" s="109"/>
    </row>
    <row r="724" spans="1:8" hidden="1" x14ac:dyDescent="0.3">
      <c r="A724" s="103"/>
      <c r="B724" s="105"/>
      <c r="C724" s="111"/>
      <c r="D724" s="70"/>
      <c r="E724" s="62"/>
      <c r="F724" s="68"/>
      <c r="G724" s="68"/>
      <c r="H724" s="109"/>
    </row>
    <row r="725" spans="1:8" hidden="1" x14ac:dyDescent="0.3">
      <c r="A725" s="103"/>
      <c r="B725" s="105"/>
      <c r="C725" s="111"/>
      <c r="D725" s="70"/>
      <c r="E725" s="62"/>
      <c r="F725" s="68"/>
      <c r="G725" s="68"/>
      <c r="H725" s="109"/>
    </row>
    <row r="726" spans="1:8" hidden="1" x14ac:dyDescent="0.3">
      <c r="A726" s="103"/>
      <c r="B726" s="105"/>
      <c r="C726" s="111"/>
      <c r="D726" s="70"/>
      <c r="E726" s="62"/>
      <c r="F726" s="68"/>
      <c r="G726" s="68"/>
      <c r="H726" s="109"/>
    </row>
    <row r="727" spans="1:8" hidden="1" x14ac:dyDescent="0.3">
      <c r="A727" s="103"/>
      <c r="B727" s="105"/>
      <c r="C727" s="111"/>
      <c r="D727" s="70"/>
      <c r="E727" s="62"/>
      <c r="F727" s="68"/>
      <c r="G727" s="68"/>
      <c r="H727" s="109"/>
    </row>
    <row r="728" spans="1:8" hidden="1" x14ac:dyDescent="0.3">
      <c r="A728" s="103"/>
      <c r="B728" s="105"/>
      <c r="C728" s="111"/>
      <c r="D728" s="70"/>
      <c r="E728" s="62"/>
      <c r="F728" s="68"/>
      <c r="G728" s="68"/>
      <c r="H728" s="109"/>
    </row>
    <row r="729" spans="1:8" hidden="1" x14ac:dyDescent="0.3">
      <c r="A729" s="103"/>
      <c r="B729" s="105"/>
      <c r="C729" s="111"/>
      <c r="D729" s="70"/>
      <c r="E729" s="62"/>
      <c r="F729" s="68"/>
      <c r="G729" s="68"/>
      <c r="H729" s="109"/>
    </row>
    <row r="730" spans="1:8" hidden="1" x14ac:dyDescent="0.3">
      <c r="A730" s="103"/>
      <c r="B730" s="105"/>
      <c r="C730" s="111"/>
      <c r="D730" s="70"/>
      <c r="E730" s="62"/>
      <c r="F730" s="68"/>
      <c r="G730" s="68"/>
      <c r="H730" s="109"/>
    </row>
    <row r="731" spans="1:8" hidden="1" x14ac:dyDescent="0.3">
      <c r="A731" s="103"/>
      <c r="B731" s="105"/>
      <c r="C731" s="111"/>
      <c r="D731" s="70"/>
      <c r="E731" s="62"/>
      <c r="F731" s="68"/>
      <c r="G731" s="68"/>
      <c r="H731" s="109"/>
    </row>
    <row r="732" spans="1:8" hidden="1" x14ac:dyDescent="0.3">
      <c r="A732" s="103"/>
      <c r="B732" s="105"/>
      <c r="C732" s="111"/>
      <c r="D732" s="70"/>
      <c r="E732" s="62"/>
      <c r="F732" s="68"/>
      <c r="G732" s="68"/>
      <c r="H732" s="109"/>
    </row>
    <row r="733" spans="1:8" hidden="1" x14ac:dyDescent="0.3">
      <c r="A733" s="103"/>
      <c r="B733" s="105"/>
      <c r="C733" s="111"/>
      <c r="D733" s="70"/>
      <c r="E733" s="62"/>
      <c r="F733" s="68"/>
      <c r="G733" s="68"/>
      <c r="H733" s="109"/>
    </row>
    <row r="734" spans="1:8" hidden="1" x14ac:dyDescent="0.3">
      <c r="A734" s="103"/>
      <c r="B734" s="105"/>
      <c r="C734" s="111"/>
      <c r="D734" s="70"/>
      <c r="E734" s="62"/>
      <c r="F734" s="68"/>
      <c r="G734" s="68"/>
      <c r="H734" s="109"/>
    </row>
    <row r="735" spans="1:8" hidden="1" x14ac:dyDescent="0.3">
      <c r="A735" s="103"/>
      <c r="B735" s="105"/>
      <c r="C735" s="111"/>
      <c r="D735" s="70"/>
      <c r="E735" s="62"/>
      <c r="F735" s="68"/>
      <c r="G735" s="68"/>
      <c r="H735" s="109"/>
    </row>
    <row r="736" spans="1:8" hidden="1" x14ac:dyDescent="0.3">
      <c r="A736" s="103"/>
      <c r="B736" s="105"/>
      <c r="C736" s="111"/>
      <c r="D736" s="70"/>
      <c r="E736" s="62"/>
      <c r="F736" s="68"/>
      <c r="G736" s="68"/>
      <c r="H736" s="109"/>
    </row>
    <row r="737" spans="1:8" hidden="1" x14ac:dyDescent="0.3">
      <c r="A737" s="103"/>
      <c r="B737" s="105"/>
      <c r="C737" s="111"/>
      <c r="D737" s="70"/>
      <c r="E737" s="62"/>
      <c r="F737" s="68"/>
      <c r="G737" s="68"/>
      <c r="H737" s="109"/>
    </row>
    <row r="738" spans="1:8" hidden="1" x14ac:dyDescent="0.3">
      <c r="A738" s="103"/>
      <c r="B738" s="105"/>
      <c r="C738" s="111"/>
      <c r="D738" s="70"/>
      <c r="E738" s="62"/>
      <c r="F738" s="68"/>
      <c r="G738" s="68"/>
      <c r="H738" s="109"/>
    </row>
    <row r="739" spans="1:8" hidden="1" x14ac:dyDescent="0.3">
      <c r="A739" s="103"/>
      <c r="B739" s="105"/>
      <c r="C739" s="111"/>
      <c r="D739" s="70"/>
      <c r="E739" s="62"/>
      <c r="F739" s="68"/>
      <c r="G739" s="68"/>
      <c r="H739" s="109"/>
    </row>
    <row r="740" spans="1:8" hidden="1" x14ac:dyDescent="0.3">
      <c r="A740" s="103"/>
      <c r="B740" s="105"/>
      <c r="C740" s="111"/>
      <c r="D740" s="70"/>
      <c r="E740" s="62"/>
      <c r="F740" s="68"/>
      <c r="G740" s="68"/>
      <c r="H740" s="109"/>
    </row>
    <row r="741" spans="1:8" hidden="1" x14ac:dyDescent="0.3">
      <c r="A741" s="103"/>
      <c r="B741" s="105"/>
      <c r="C741" s="111"/>
      <c r="D741" s="70"/>
      <c r="E741" s="62"/>
      <c r="F741" s="68"/>
      <c r="G741" s="68"/>
      <c r="H741" s="109"/>
    </row>
    <row r="742" spans="1:8" hidden="1" x14ac:dyDescent="0.3">
      <c r="A742" s="103"/>
      <c r="B742" s="105"/>
      <c r="C742" s="111"/>
      <c r="D742" s="70"/>
      <c r="E742" s="62"/>
      <c r="F742" s="68"/>
      <c r="G742" s="68"/>
      <c r="H742" s="109"/>
    </row>
    <row r="743" spans="1:8" hidden="1" x14ac:dyDescent="0.3">
      <c r="A743" s="103"/>
      <c r="B743" s="105"/>
      <c r="C743" s="111"/>
      <c r="D743" s="70"/>
      <c r="E743" s="62"/>
      <c r="F743" s="68"/>
      <c r="G743" s="68"/>
      <c r="H743" s="109"/>
    </row>
    <row r="744" spans="1:8" hidden="1" x14ac:dyDescent="0.3">
      <c r="A744" s="103"/>
      <c r="B744" s="105"/>
      <c r="C744" s="111"/>
      <c r="D744" s="70"/>
      <c r="E744" s="62"/>
      <c r="F744" s="68"/>
      <c r="G744" s="68"/>
      <c r="H744" s="109"/>
    </row>
    <row r="745" spans="1:8" hidden="1" x14ac:dyDescent="0.3">
      <c r="A745" s="103"/>
      <c r="B745" s="105"/>
      <c r="C745" s="111"/>
      <c r="D745" s="70"/>
      <c r="E745" s="62"/>
      <c r="F745" s="68"/>
      <c r="G745" s="68"/>
      <c r="H745" s="109"/>
    </row>
    <row r="746" spans="1:8" hidden="1" x14ac:dyDescent="0.3">
      <c r="A746" s="103"/>
      <c r="B746" s="105"/>
      <c r="C746" s="111"/>
      <c r="D746" s="70"/>
      <c r="E746" s="62"/>
      <c r="F746" s="68"/>
      <c r="G746" s="68"/>
      <c r="H746" s="109"/>
    </row>
    <row r="747" spans="1:8" hidden="1" x14ac:dyDescent="0.3">
      <c r="A747" s="103"/>
      <c r="B747" s="105"/>
      <c r="C747" s="111"/>
      <c r="D747" s="70"/>
      <c r="E747" s="62"/>
      <c r="F747" s="68"/>
      <c r="G747" s="68"/>
      <c r="H747" s="109"/>
    </row>
    <row r="748" spans="1:8" hidden="1" x14ac:dyDescent="0.3">
      <c r="A748" s="103"/>
      <c r="B748" s="105"/>
      <c r="C748" s="111"/>
      <c r="D748" s="70"/>
      <c r="E748" s="62"/>
      <c r="F748" s="68"/>
      <c r="G748" s="68"/>
      <c r="H748" s="109"/>
    </row>
    <row r="749" spans="1:8" hidden="1" x14ac:dyDescent="0.3">
      <c r="A749" s="103"/>
      <c r="B749" s="105"/>
      <c r="C749" s="111"/>
      <c r="D749" s="70"/>
      <c r="E749" s="62"/>
      <c r="F749" s="68"/>
      <c r="G749" s="68"/>
      <c r="H749" s="109"/>
    </row>
    <row r="750" spans="1:8" hidden="1" x14ac:dyDescent="0.3">
      <c r="A750" s="103"/>
      <c r="B750" s="105"/>
      <c r="C750" s="111"/>
      <c r="D750" s="70"/>
      <c r="E750" s="62"/>
      <c r="F750" s="68"/>
      <c r="G750" s="68"/>
      <c r="H750" s="109"/>
    </row>
    <row r="751" spans="1:8" hidden="1" x14ac:dyDescent="0.3">
      <c r="A751" s="103"/>
      <c r="B751" s="105"/>
      <c r="C751" s="111"/>
      <c r="D751" s="70"/>
      <c r="E751" s="62"/>
      <c r="F751" s="68"/>
      <c r="G751" s="68"/>
      <c r="H751" s="109"/>
    </row>
    <row r="752" spans="1:8" hidden="1" x14ac:dyDescent="0.3">
      <c r="A752" s="103"/>
      <c r="B752" s="105"/>
      <c r="C752" s="111"/>
      <c r="D752" s="70"/>
      <c r="E752" s="62"/>
      <c r="F752" s="68"/>
      <c r="G752" s="68"/>
      <c r="H752" s="109"/>
    </row>
    <row r="753" spans="1:8" hidden="1" x14ac:dyDescent="0.3">
      <c r="A753" s="103"/>
      <c r="B753" s="105"/>
      <c r="C753" s="111"/>
      <c r="D753" s="70"/>
      <c r="E753" s="62"/>
      <c r="F753" s="68"/>
      <c r="G753" s="68"/>
      <c r="H753" s="109"/>
    </row>
    <row r="754" spans="1:8" hidden="1" x14ac:dyDescent="0.3">
      <c r="A754" s="103"/>
      <c r="B754" s="105"/>
      <c r="C754" s="111"/>
      <c r="D754" s="70"/>
      <c r="E754" s="62"/>
      <c r="F754" s="68"/>
      <c r="G754" s="68"/>
      <c r="H754" s="109"/>
    </row>
    <row r="755" spans="1:8" hidden="1" x14ac:dyDescent="0.3">
      <c r="A755" s="103"/>
      <c r="B755" s="105"/>
      <c r="C755" s="111"/>
      <c r="D755" s="70"/>
      <c r="E755" s="62"/>
      <c r="F755" s="68"/>
      <c r="G755" s="68"/>
      <c r="H755" s="109"/>
    </row>
    <row r="756" spans="1:8" hidden="1" x14ac:dyDescent="0.3">
      <c r="A756" s="103"/>
      <c r="B756" s="105"/>
      <c r="C756" s="111"/>
      <c r="D756" s="70"/>
      <c r="E756" s="62"/>
      <c r="F756" s="68"/>
      <c r="G756" s="68"/>
      <c r="H756" s="109"/>
    </row>
    <row r="757" spans="1:8" hidden="1" x14ac:dyDescent="0.3">
      <c r="A757" s="103"/>
      <c r="B757" s="105"/>
      <c r="C757" s="111"/>
      <c r="D757" s="70"/>
      <c r="E757" s="62"/>
      <c r="F757" s="68"/>
      <c r="G757" s="68"/>
      <c r="H757" s="109"/>
    </row>
    <row r="758" spans="1:8" hidden="1" x14ac:dyDescent="0.3">
      <c r="A758" s="103"/>
      <c r="B758" s="105"/>
      <c r="C758" s="111"/>
      <c r="D758" s="70"/>
      <c r="E758" s="62"/>
      <c r="F758" s="68"/>
      <c r="G758" s="68"/>
      <c r="H758" s="109"/>
    </row>
    <row r="759" spans="1:8" hidden="1" x14ac:dyDescent="0.3">
      <c r="A759" s="103"/>
      <c r="B759" s="105"/>
      <c r="C759" s="111"/>
      <c r="D759" s="70"/>
      <c r="E759" s="62"/>
      <c r="F759" s="68"/>
      <c r="G759" s="68"/>
      <c r="H759" s="109"/>
    </row>
    <row r="760" spans="1:8" hidden="1" x14ac:dyDescent="0.3">
      <c r="A760" s="103"/>
      <c r="B760" s="105"/>
      <c r="C760" s="111"/>
      <c r="D760" s="70"/>
      <c r="E760" s="62"/>
      <c r="F760" s="68"/>
      <c r="G760" s="68"/>
      <c r="H760" s="109"/>
    </row>
    <row r="761" spans="1:8" hidden="1" x14ac:dyDescent="0.3">
      <c r="A761" s="103"/>
      <c r="B761" s="105"/>
      <c r="C761" s="111"/>
      <c r="D761" s="70"/>
      <c r="E761" s="62"/>
      <c r="F761" s="68"/>
      <c r="G761" s="68"/>
      <c r="H761" s="109"/>
    </row>
    <row r="762" spans="1:8" hidden="1" x14ac:dyDescent="0.3">
      <c r="A762" s="103"/>
      <c r="B762" s="105"/>
      <c r="C762" s="111"/>
      <c r="D762" s="70"/>
      <c r="E762" s="62"/>
      <c r="F762" s="68"/>
      <c r="G762" s="68"/>
      <c r="H762" s="109"/>
    </row>
    <row r="763" spans="1:8" hidden="1" x14ac:dyDescent="0.3">
      <c r="A763" s="103"/>
      <c r="B763" s="105"/>
      <c r="C763" s="111"/>
      <c r="D763" s="70"/>
      <c r="E763" s="62"/>
      <c r="F763" s="68"/>
      <c r="G763" s="68"/>
      <c r="H763" s="109"/>
    </row>
    <row r="764" spans="1:8" hidden="1" x14ac:dyDescent="0.3">
      <c r="A764" s="103"/>
      <c r="B764" s="105"/>
      <c r="C764" s="111"/>
      <c r="D764" s="70"/>
      <c r="E764" s="62"/>
      <c r="F764" s="68"/>
      <c r="G764" s="68"/>
      <c r="H764" s="109"/>
    </row>
    <row r="765" spans="1:8" hidden="1" x14ac:dyDescent="0.3">
      <c r="A765" s="103"/>
      <c r="B765" s="105"/>
      <c r="C765" s="111"/>
      <c r="D765" s="70"/>
      <c r="E765" s="62"/>
      <c r="F765" s="68"/>
      <c r="G765" s="68"/>
      <c r="H765" s="109"/>
    </row>
    <row r="766" spans="1:8" hidden="1" x14ac:dyDescent="0.3">
      <c r="A766" s="103"/>
      <c r="B766" s="105"/>
      <c r="C766" s="111"/>
      <c r="D766" s="70"/>
      <c r="E766" s="62"/>
      <c r="F766" s="68"/>
      <c r="G766" s="68"/>
      <c r="H766" s="109"/>
    </row>
    <row r="767" spans="1:8" hidden="1" x14ac:dyDescent="0.3">
      <c r="A767" s="103"/>
      <c r="B767" s="105"/>
      <c r="C767" s="111"/>
      <c r="D767" s="70"/>
      <c r="E767" s="62"/>
      <c r="F767" s="68"/>
      <c r="G767" s="68"/>
      <c r="H767" s="109"/>
    </row>
    <row r="768" spans="1:8" hidden="1" x14ac:dyDescent="0.3">
      <c r="A768" s="103"/>
      <c r="B768" s="105"/>
      <c r="C768" s="111"/>
      <c r="D768" s="70"/>
      <c r="E768" s="62"/>
      <c r="F768" s="68"/>
      <c r="G768" s="68"/>
      <c r="H768" s="109"/>
    </row>
    <row r="769" spans="1:8" hidden="1" x14ac:dyDescent="0.3">
      <c r="A769" s="103"/>
      <c r="B769" s="105"/>
      <c r="C769" s="111"/>
      <c r="D769" s="70"/>
      <c r="E769" s="62"/>
      <c r="F769" s="68"/>
      <c r="G769" s="68"/>
      <c r="H769" s="109"/>
    </row>
    <row r="770" spans="1:8" hidden="1" x14ac:dyDescent="0.3">
      <c r="A770" s="103"/>
      <c r="B770" s="105"/>
      <c r="C770" s="111"/>
      <c r="D770" s="70"/>
      <c r="E770" s="62"/>
      <c r="F770" s="68"/>
      <c r="G770" s="68"/>
      <c r="H770" s="109"/>
    </row>
    <row r="771" spans="1:8" hidden="1" x14ac:dyDescent="0.3">
      <c r="A771" s="103"/>
      <c r="B771" s="105"/>
      <c r="C771" s="111"/>
      <c r="D771" s="70"/>
      <c r="E771" s="62"/>
      <c r="F771" s="68"/>
      <c r="G771" s="68"/>
      <c r="H771" s="109"/>
    </row>
    <row r="772" spans="1:8" hidden="1" x14ac:dyDescent="0.3">
      <c r="A772" s="103"/>
      <c r="B772" s="105"/>
      <c r="C772" s="111"/>
      <c r="D772" s="70"/>
      <c r="E772" s="62"/>
      <c r="F772" s="68"/>
      <c r="G772" s="68"/>
      <c r="H772" s="109"/>
    </row>
    <row r="773" spans="1:8" hidden="1" x14ac:dyDescent="0.3">
      <c r="A773" s="103"/>
      <c r="B773" s="105"/>
      <c r="C773" s="111"/>
      <c r="D773" s="70"/>
      <c r="E773" s="62"/>
      <c r="F773" s="68"/>
      <c r="G773" s="68"/>
      <c r="H773" s="109"/>
    </row>
    <row r="774" spans="1:8" hidden="1" x14ac:dyDescent="0.3">
      <c r="A774" s="103"/>
      <c r="B774" s="105"/>
      <c r="C774" s="111"/>
      <c r="D774" s="70"/>
      <c r="E774" s="62"/>
      <c r="F774" s="68"/>
      <c r="G774" s="68"/>
      <c r="H774" s="109"/>
    </row>
    <row r="775" spans="1:8" hidden="1" x14ac:dyDescent="0.3">
      <c r="A775" s="103"/>
      <c r="B775" s="105"/>
      <c r="C775" s="111"/>
      <c r="D775" s="70"/>
      <c r="E775" s="62"/>
      <c r="F775" s="68"/>
      <c r="G775" s="68"/>
      <c r="H775" s="109"/>
    </row>
    <row r="776" spans="1:8" hidden="1" x14ac:dyDescent="0.3">
      <c r="A776" s="103"/>
      <c r="B776" s="105"/>
      <c r="C776" s="111"/>
      <c r="D776" s="70"/>
      <c r="E776" s="62"/>
      <c r="F776" s="68"/>
      <c r="G776" s="68"/>
      <c r="H776" s="109"/>
    </row>
    <row r="777" spans="1:8" hidden="1" x14ac:dyDescent="0.3">
      <c r="A777" s="103"/>
      <c r="B777" s="105"/>
      <c r="C777" s="111"/>
      <c r="D777" s="70"/>
      <c r="E777" s="62"/>
      <c r="F777" s="68"/>
      <c r="G777" s="68"/>
      <c r="H777" s="109"/>
    </row>
    <row r="778" spans="1:8" hidden="1" x14ac:dyDescent="0.3">
      <c r="A778" s="103"/>
      <c r="B778" s="105"/>
      <c r="C778" s="111"/>
      <c r="D778" s="70"/>
      <c r="E778" s="62"/>
      <c r="F778" s="68"/>
      <c r="G778" s="68"/>
      <c r="H778" s="109"/>
    </row>
    <row r="779" spans="1:8" hidden="1" x14ac:dyDescent="0.3">
      <c r="A779" s="103"/>
      <c r="B779" s="105"/>
      <c r="C779" s="111"/>
      <c r="D779" s="70"/>
      <c r="E779" s="62"/>
      <c r="F779" s="68"/>
      <c r="G779" s="68"/>
      <c r="H779" s="109"/>
    </row>
    <row r="780" spans="1:8" hidden="1" x14ac:dyDescent="0.3">
      <c r="A780" s="103"/>
      <c r="B780" s="105"/>
      <c r="C780" s="111"/>
      <c r="D780" s="70"/>
      <c r="E780" s="62"/>
      <c r="F780" s="68"/>
      <c r="G780" s="68"/>
      <c r="H780" s="109"/>
    </row>
    <row r="781" spans="1:8" hidden="1" x14ac:dyDescent="0.3">
      <c r="A781" s="103"/>
      <c r="B781" s="105"/>
      <c r="C781" s="111"/>
      <c r="D781" s="70"/>
      <c r="E781" s="62"/>
      <c r="F781" s="68"/>
      <c r="G781" s="68"/>
      <c r="H781" s="109"/>
    </row>
    <row r="782" spans="1:8" hidden="1" x14ac:dyDescent="0.3">
      <c r="A782" s="103"/>
      <c r="B782" s="105"/>
      <c r="C782" s="111"/>
      <c r="D782" s="70"/>
      <c r="E782" s="62"/>
      <c r="F782" s="68"/>
      <c r="G782" s="68"/>
      <c r="H782" s="109"/>
    </row>
    <row r="783" spans="1:8" hidden="1" x14ac:dyDescent="0.3">
      <c r="A783" s="103"/>
      <c r="B783" s="105"/>
      <c r="C783" s="111"/>
      <c r="D783" s="70"/>
      <c r="E783" s="62"/>
      <c r="F783" s="68"/>
      <c r="G783" s="68"/>
      <c r="H783" s="109"/>
    </row>
    <row r="784" spans="1:8" hidden="1" x14ac:dyDescent="0.3">
      <c r="A784" s="103"/>
      <c r="B784" s="105"/>
      <c r="C784" s="111"/>
      <c r="D784" s="70"/>
      <c r="E784" s="62"/>
      <c r="F784" s="68"/>
      <c r="G784" s="68"/>
      <c r="H784" s="109"/>
    </row>
    <row r="785" spans="1:8" hidden="1" x14ac:dyDescent="0.3">
      <c r="A785" s="103"/>
      <c r="B785" s="105"/>
      <c r="C785" s="111"/>
      <c r="D785" s="70"/>
      <c r="E785" s="62"/>
      <c r="F785" s="68"/>
      <c r="G785" s="68"/>
      <c r="H785" s="109"/>
    </row>
    <row r="786" spans="1:8" hidden="1" x14ac:dyDescent="0.3">
      <c r="A786" s="103"/>
      <c r="B786" s="105"/>
      <c r="C786" s="111"/>
      <c r="D786" s="70"/>
      <c r="E786" s="62"/>
      <c r="F786" s="68"/>
      <c r="G786" s="68"/>
      <c r="H786" s="109"/>
    </row>
    <row r="787" spans="1:8" hidden="1" x14ac:dyDescent="0.3">
      <c r="A787" s="103"/>
      <c r="B787" s="105"/>
      <c r="C787" s="111"/>
      <c r="D787" s="70"/>
      <c r="E787" s="62"/>
      <c r="F787" s="68"/>
      <c r="G787" s="68"/>
      <c r="H787" s="109"/>
    </row>
    <row r="788" spans="1:8" hidden="1" x14ac:dyDescent="0.3">
      <c r="A788" s="103"/>
      <c r="B788" s="105"/>
      <c r="C788" s="111"/>
      <c r="D788" s="70"/>
      <c r="E788" s="62"/>
      <c r="F788" s="68"/>
      <c r="G788" s="68"/>
      <c r="H788" s="109"/>
    </row>
    <row r="789" spans="1:8" hidden="1" x14ac:dyDescent="0.3">
      <c r="A789" s="103"/>
      <c r="B789" s="105"/>
      <c r="C789" s="111"/>
      <c r="D789" s="70"/>
      <c r="E789" s="62"/>
      <c r="F789" s="68"/>
      <c r="G789" s="68"/>
      <c r="H789" s="109"/>
    </row>
    <row r="790" spans="1:8" hidden="1" x14ac:dyDescent="0.3">
      <c r="A790" s="103"/>
      <c r="B790" s="105"/>
      <c r="C790" s="111"/>
      <c r="D790" s="70"/>
      <c r="E790" s="62"/>
      <c r="F790" s="68"/>
      <c r="G790" s="68"/>
      <c r="H790" s="109"/>
    </row>
    <row r="791" spans="1:8" hidden="1" x14ac:dyDescent="0.3">
      <c r="A791" s="103"/>
      <c r="B791" s="105"/>
      <c r="C791" s="111"/>
      <c r="D791" s="70"/>
      <c r="E791" s="62"/>
      <c r="F791" s="68"/>
      <c r="G791" s="68"/>
      <c r="H791" s="109"/>
    </row>
    <row r="792" spans="1:8" hidden="1" x14ac:dyDescent="0.3">
      <c r="A792" s="103"/>
      <c r="B792" s="105"/>
      <c r="C792" s="111"/>
      <c r="D792" s="70"/>
      <c r="E792" s="62"/>
      <c r="F792" s="68"/>
      <c r="G792" s="68"/>
      <c r="H792" s="109"/>
    </row>
    <row r="793" spans="1:8" hidden="1" x14ac:dyDescent="0.3">
      <c r="A793" s="103"/>
      <c r="B793" s="105"/>
      <c r="C793" s="111"/>
      <c r="D793" s="70"/>
      <c r="E793" s="62"/>
      <c r="F793" s="68"/>
      <c r="G793" s="68"/>
      <c r="H793" s="109"/>
    </row>
    <row r="794" spans="1:8" hidden="1" x14ac:dyDescent="0.3">
      <c r="A794" s="103"/>
      <c r="B794" s="105"/>
      <c r="C794" s="111"/>
      <c r="D794" s="70"/>
      <c r="E794" s="62"/>
      <c r="F794" s="68"/>
      <c r="G794" s="68"/>
      <c r="H794" s="109"/>
    </row>
    <row r="795" spans="1:8" hidden="1" x14ac:dyDescent="0.3">
      <c r="A795" s="103"/>
      <c r="B795" s="105"/>
      <c r="C795" s="111"/>
      <c r="D795" s="70"/>
      <c r="E795" s="62"/>
      <c r="F795" s="68"/>
      <c r="G795" s="68"/>
      <c r="H795" s="109"/>
    </row>
    <row r="796" spans="1:8" hidden="1" x14ac:dyDescent="0.3">
      <c r="A796" s="103"/>
      <c r="B796" s="105"/>
      <c r="C796" s="111"/>
      <c r="D796" s="70"/>
      <c r="E796" s="62"/>
      <c r="F796" s="68"/>
      <c r="G796" s="68"/>
      <c r="H796" s="109"/>
    </row>
    <row r="797" spans="1:8" hidden="1" x14ac:dyDescent="0.3">
      <c r="A797" s="103"/>
      <c r="B797" s="105"/>
      <c r="C797" s="111"/>
      <c r="D797" s="70"/>
      <c r="E797" s="62"/>
      <c r="F797" s="68"/>
      <c r="G797" s="68"/>
      <c r="H797" s="109"/>
    </row>
    <row r="798" spans="1:8" hidden="1" x14ac:dyDescent="0.3">
      <c r="A798" s="103"/>
      <c r="B798" s="105"/>
      <c r="C798" s="111"/>
      <c r="D798" s="70"/>
      <c r="E798" s="62"/>
      <c r="F798" s="68"/>
      <c r="G798" s="68"/>
      <c r="H798" s="109"/>
    </row>
    <row r="799" spans="1:8" hidden="1" x14ac:dyDescent="0.3">
      <c r="A799" s="103"/>
      <c r="B799" s="105"/>
      <c r="C799" s="111"/>
      <c r="D799" s="70"/>
      <c r="E799" s="62"/>
      <c r="F799" s="68"/>
      <c r="G799" s="68"/>
      <c r="H799" s="109"/>
    </row>
    <row r="800" spans="1:8" hidden="1" x14ac:dyDescent="0.3">
      <c r="A800" s="103"/>
      <c r="B800" s="105"/>
      <c r="C800" s="111"/>
      <c r="D800" s="70"/>
      <c r="E800" s="62"/>
      <c r="F800" s="68"/>
      <c r="G800" s="68"/>
      <c r="H800" s="109"/>
    </row>
    <row r="801" spans="1:8" hidden="1" x14ac:dyDescent="0.3">
      <c r="A801" s="103"/>
      <c r="B801" s="105"/>
      <c r="C801" s="111"/>
      <c r="D801" s="70"/>
      <c r="E801" s="62"/>
      <c r="F801" s="68"/>
      <c r="G801" s="68"/>
      <c r="H801" s="109"/>
    </row>
    <row r="802" spans="1:8" hidden="1" x14ac:dyDescent="0.3">
      <c r="A802" s="103"/>
      <c r="B802" s="105"/>
      <c r="C802" s="111"/>
      <c r="D802" s="70"/>
      <c r="E802" s="62"/>
      <c r="F802" s="68"/>
      <c r="G802" s="68"/>
      <c r="H802" s="109"/>
    </row>
    <row r="803" spans="1:8" hidden="1" x14ac:dyDescent="0.3">
      <c r="A803" s="103"/>
      <c r="B803" s="105"/>
      <c r="C803" s="111"/>
      <c r="D803" s="70"/>
      <c r="E803" s="62"/>
      <c r="F803" s="68"/>
      <c r="G803" s="68"/>
      <c r="H803" s="109"/>
    </row>
    <row r="804" spans="1:8" hidden="1" x14ac:dyDescent="0.3">
      <c r="A804" s="103"/>
      <c r="B804" s="105"/>
      <c r="C804" s="111"/>
      <c r="D804" s="70"/>
      <c r="E804" s="62"/>
      <c r="F804" s="68"/>
      <c r="G804" s="68"/>
      <c r="H804" s="109"/>
    </row>
    <row r="805" spans="1:8" hidden="1" x14ac:dyDescent="0.3">
      <c r="A805" s="103"/>
      <c r="B805" s="105"/>
      <c r="C805" s="111"/>
      <c r="D805" s="70"/>
      <c r="E805" s="62"/>
      <c r="F805" s="68"/>
      <c r="G805" s="68"/>
      <c r="H805" s="109"/>
    </row>
    <row r="806" spans="1:8" hidden="1" x14ac:dyDescent="0.3">
      <c r="A806" s="103"/>
      <c r="B806" s="105"/>
      <c r="C806" s="111"/>
      <c r="D806" s="70"/>
      <c r="E806" s="62"/>
      <c r="F806" s="68"/>
      <c r="G806" s="68"/>
      <c r="H806" s="109"/>
    </row>
    <row r="807" spans="1:8" hidden="1" x14ac:dyDescent="0.3">
      <c r="A807" s="103"/>
      <c r="B807" s="105"/>
      <c r="C807" s="111"/>
      <c r="D807" s="70"/>
      <c r="E807" s="62"/>
      <c r="F807" s="68"/>
      <c r="G807" s="68"/>
      <c r="H807" s="109"/>
    </row>
    <row r="808" spans="1:8" hidden="1" x14ac:dyDescent="0.3">
      <c r="A808" s="103"/>
      <c r="B808" s="105"/>
      <c r="C808" s="111"/>
      <c r="D808" s="70"/>
      <c r="E808" s="62"/>
      <c r="F808" s="68"/>
      <c r="G808" s="68"/>
      <c r="H808" s="109"/>
    </row>
    <row r="809" spans="1:8" hidden="1" x14ac:dyDescent="0.3">
      <c r="A809" s="103"/>
      <c r="B809" s="105"/>
      <c r="C809" s="111"/>
      <c r="D809" s="70"/>
      <c r="E809" s="62"/>
      <c r="F809" s="68"/>
      <c r="G809" s="68"/>
      <c r="H809" s="109"/>
    </row>
    <row r="810" spans="1:8" hidden="1" x14ac:dyDescent="0.3">
      <c r="A810" s="103"/>
      <c r="B810" s="105"/>
      <c r="C810" s="111"/>
      <c r="D810" s="70"/>
      <c r="E810" s="62"/>
      <c r="F810" s="68"/>
      <c r="G810" s="68"/>
      <c r="H810" s="109"/>
    </row>
    <row r="811" spans="1:8" hidden="1" x14ac:dyDescent="0.3">
      <c r="A811" s="103"/>
      <c r="B811" s="105"/>
      <c r="C811" s="111"/>
      <c r="D811" s="70"/>
      <c r="E811" s="62"/>
      <c r="F811" s="68"/>
      <c r="G811" s="68"/>
      <c r="H811" s="109"/>
    </row>
    <row r="812" spans="1:8" hidden="1" x14ac:dyDescent="0.3">
      <c r="A812" s="103"/>
      <c r="B812" s="105"/>
      <c r="C812" s="111"/>
      <c r="D812" s="70"/>
      <c r="E812" s="62"/>
      <c r="F812" s="68"/>
      <c r="G812" s="68"/>
      <c r="H812" s="109"/>
    </row>
    <row r="813" spans="1:8" hidden="1" x14ac:dyDescent="0.3">
      <c r="A813" s="103"/>
      <c r="B813" s="105"/>
      <c r="C813" s="111"/>
      <c r="D813" s="70"/>
      <c r="E813" s="62"/>
      <c r="F813" s="68"/>
      <c r="G813" s="68"/>
      <c r="H813" s="109"/>
    </row>
    <row r="814" spans="1:8" hidden="1" x14ac:dyDescent="0.3">
      <c r="A814" s="103"/>
      <c r="B814" s="105"/>
      <c r="C814" s="111"/>
      <c r="D814" s="70"/>
      <c r="E814" s="62"/>
      <c r="F814" s="68"/>
      <c r="G814" s="68"/>
      <c r="H814" s="109"/>
    </row>
    <row r="815" spans="1:8" hidden="1" x14ac:dyDescent="0.3">
      <c r="A815" s="103"/>
      <c r="B815" s="105"/>
      <c r="C815" s="111"/>
      <c r="D815" s="70"/>
      <c r="E815" s="62"/>
      <c r="F815" s="68"/>
      <c r="G815" s="68"/>
      <c r="H815" s="109"/>
    </row>
    <row r="816" spans="1:8" hidden="1" x14ac:dyDescent="0.3">
      <c r="A816" s="103"/>
      <c r="B816" s="105"/>
      <c r="C816" s="111"/>
      <c r="D816" s="70"/>
      <c r="E816" s="62"/>
      <c r="F816" s="68"/>
      <c r="G816" s="68"/>
      <c r="H816" s="109"/>
    </row>
    <row r="817" spans="1:8" hidden="1" x14ac:dyDescent="0.3">
      <c r="A817" s="103"/>
      <c r="B817" s="105"/>
      <c r="C817" s="111"/>
      <c r="D817" s="70"/>
      <c r="E817" s="62"/>
      <c r="F817" s="68"/>
      <c r="G817" s="68"/>
      <c r="H817" s="109"/>
    </row>
    <row r="818" spans="1:8" hidden="1" x14ac:dyDescent="0.3">
      <c r="A818" s="103"/>
      <c r="B818" s="105"/>
      <c r="C818" s="111"/>
      <c r="D818" s="70"/>
      <c r="E818" s="62"/>
      <c r="F818" s="68"/>
      <c r="G818" s="68"/>
      <c r="H818" s="109"/>
    </row>
    <row r="819" spans="1:8" hidden="1" x14ac:dyDescent="0.3">
      <c r="A819" s="103"/>
      <c r="B819" s="105"/>
      <c r="C819" s="111"/>
      <c r="D819" s="70"/>
      <c r="E819" s="62"/>
      <c r="F819" s="68"/>
      <c r="G819" s="68"/>
      <c r="H819" s="109"/>
    </row>
    <row r="820" spans="1:8" hidden="1" x14ac:dyDescent="0.3">
      <c r="A820" s="103"/>
      <c r="B820" s="105"/>
      <c r="C820" s="111"/>
      <c r="D820" s="70"/>
      <c r="E820" s="62"/>
      <c r="F820" s="68"/>
      <c r="G820" s="68"/>
      <c r="H820" s="109"/>
    </row>
    <row r="821" spans="1:8" hidden="1" x14ac:dyDescent="0.3">
      <c r="A821" s="103"/>
      <c r="B821" s="105"/>
      <c r="C821" s="111"/>
      <c r="D821" s="70"/>
      <c r="E821" s="62"/>
      <c r="F821" s="68"/>
      <c r="G821" s="68"/>
      <c r="H821" s="109"/>
    </row>
    <row r="822" spans="1:8" hidden="1" x14ac:dyDescent="0.3">
      <c r="A822" s="103"/>
      <c r="B822" s="105"/>
      <c r="C822" s="111"/>
      <c r="D822" s="70"/>
      <c r="E822" s="62"/>
      <c r="F822" s="68"/>
      <c r="G822" s="68"/>
      <c r="H822" s="109"/>
    </row>
    <row r="823" spans="1:8" hidden="1" x14ac:dyDescent="0.3">
      <c r="A823" s="103"/>
      <c r="B823" s="105"/>
      <c r="C823" s="111"/>
      <c r="D823" s="70"/>
      <c r="E823" s="62"/>
      <c r="F823" s="68"/>
      <c r="G823" s="68"/>
      <c r="H823" s="109"/>
    </row>
    <row r="824" spans="1:8" hidden="1" x14ac:dyDescent="0.3">
      <c r="A824" s="103"/>
      <c r="B824" s="105"/>
      <c r="C824" s="111"/>
      <c r="D824" s="70"/>
      <c r="E824" s="62"/>
      <c r="F824" s="68"/>
      <c r="G824" s="68"/>
      <c r="H824" s="109"/>
    </row>
    <row r="825" spans="1:8" hidden="1" x14ac:dyDescent="0.3">
      <c r="A825" s="103"/>
      <c r="B825" s="105"/>
      <c r="C825" s="111"/>
      <c r="D825" s="70"/>
      <c r="E825" s="62"/>
      <c r="F825" s="68"/>
      <c r="G825" s="68"/>
      <c r="H825" s="109"/>
    </row>
    <row r="826" spans="1:8" hidden="1" x14ac:dyDescent="0.3">
      <c r="A826" s="103"/>
      <c r="B826" s="105"/>
      <c r="C826" s="111"/>
      <c r="D826" s="70"/>
      <c r="E826" s="62"/>
      <c r="F826" s="68"/>
      <c r="G826" s="68"/>
      <c r="H826" s="109"/>
    </row>
    <row r="827" spans="1:8" hidden="1" x14ac:dyDescent="0.3">
      <c r="A827" s="103"/>
      <c r="B827" s="105"/>
      <c r="C827" s="111"/>
      <c r="D827" s="70"/>
      <c r="E827" s="62"/>
      <c r="F827" s="68"/>
      <c r="G827" s="68"/>
      <c r="H827" s="109"/>
    </row>
    <row r="828" spans="1:8" hidden="1" x14ac:dyDescent="0.3">
      <c r="A828" s="103"/>
      <c r="B828" s="105"/>
      <c r="C828" s="111"/>
      <c r="D828" s="70"/>
      <c r="E828" s="62"/>
      <c r="F828" s="68"/>
      <c r="G828" s="68"/>
      <c r="H828" s="109"/>
    </row>
    <row r="829" spans="1:8" hidden="1" x14ac:dyDescent="0.3">
      <c r="A829" s="103"/>
      <c r="B829" s="105"/>
      <c r="C829" s="111"/>
      <c r="D829" s="70"/>
      <c r="E829" s="62"/>
      <c r="F829" s="68"/>
      <c r="G829" s="68"/>
      <c r="H829" s="109"/>
    </row>
    <row r="830" spans="1:8" hidden="1" x14ac:dyDescent="0.3">
      <c r="A830" s="103"/>
      <c r="B830" s="105"/>
      <c r="C830" s="111"/>
      <c r="D830" s="70"/>
      <c r="E830" s="62"/>
      <c r="F830" s="68"/>
      <c r="G830" s="68"/>
      <c r="H830" s="109"/>
    </row>
    <row r="831" spans="1:8" hidden="1" x14ac:dyDescent="0.3">
      <c r="A831" s="103"/>
      <c r="B831" s="105"/>
      <c r="C831" s="111"/>
      <c r="D831" s="70"/>
      <c r="E831" s="62"/>
      <c r="F831" s="68"/>
      <c r="G831" s="68"/>
      <c r="H831" s="109"/>
    </row>
    <row r="832" spans="1:8" hidden="1" x14ac:dyDescent="0.3">
      <c r="A832" s="103"/>
      <c r="B832" s="105"/>
      <c r="C832" s="111"/>
      <c r="D832" s="70"/>
      <c r="E832" s="62"/>
      <c r="F832" s="68"/>
      <c r="G832" s="68"/>
      <c r="H832" s="109"/>
    </row>
    <row r="833" spans="1:8" hidden="1" x14ac:dyDescent="0.3">
      <c r="A833" s="103"/>
      <c r="B833" s="105"/>
      <c r="C833" s="111"/>
      <c r="D833" s="70"/>
      <c r="E833" s="62"/>
      <c r="F833" s="68"/>
      <c r="G833" s="68"/>
      <c r="H833" s="109"/>
    </row>
    <row r="834" spans="1:8" hidden="1" x14ac:dyDescent="0.3">
      <c r="A834" s="103"/>
      <c r="B834" s="105"/>
      <c r="C834" s="111"/>
      <c r="D834" s="70"/>
      <c r="E834" s="62"/>
      <c r="F834" s="68"/>
      <c r="G834" s="68"/>
      <c r="H834" s="109"/>
    </row>
    <row r="835" spans="1:8" hidden="1" x14ac:dyDescent="0.3">
      <c r="A835" s="103"/>
      <c r="B835" s="105"/>
      <c r="C835" s="111"/>
      <c r="D835" s="70"/>
      <c r="E835" s="62"/>
      <c r="F835" s="68"/>
      <c r="G835" s="68"/>
      <c r="H835" s="109"/>
    </row>
    <row r="836" spans="1:8" hidden="1" x14ac:dyDescent="0.3">
      <c r="A836" s="103"/>
      <c r="B836" s="105"/>
      <c r="C836" s="111"/>
      <c r="D836" s="70"/>
      <c r="E836" s="62"/>
      <c r="F836" s="68"/>
      <c r="G836" s="68"/>
      <c r="H836" s="109"/>
    </row>
    <row r="837" spans="1:8" hidden="1" x14ac:dyDescent="0.3">
      <c r="A837" s="103"/>
      <c r="B837" s="105"/>
      <c r="C837" s="111"/>
      <c r="D837" s="70"/>
      <c r="E837" s="62"/>
      <c r="F837" s="68"/>
      <c r="G837" s="68"/>
      <c r="H837" s="109"/>
    </row>
    <row r="838" spans="1:8" hidden="1" x14ac:dyDescent="0.3">
      <c r="A838" s="103"/>
      <c r="B838" s="105"/>
      <c r="C838" s="111"/>
      <c r="D838" s="70"/>
      <c r="E838" s="62"/>
      <c r="F838" s="68"/>
      <c r="G838" s="68"/>
      <c r="H838" s="109"/>
    </row>
    <row r="839" spans="1:8" hidden="1" x14ac:dyDescent="0.3">
      <c r="A839" s="103"/>
      <c r="B839" s="105"/>
      <c r="C839" s="111"/>
      <c r="D839" s="70"/>
      <c r="E839" s="62"/>
      <c r="F839" s="68"/>
      <c r="G839" s="68"/>
      <c r="H839" s="109"/>
    </row>
    <row r="840" spans="1:8" hidden="1" x14ac:dyDescent="0.3">
      <c r="A840" s="103"/>
      <c r="B840" s="105"/>
      <c r="C840" s="111"/>
      <c r="D840" s="70"/>
      <c r="E840" s="62"/>
      <c r="F840" s="68"/>
      <c r="G840" s="68"/>
      <c r="H840" s="109"/>
    </row>
    <row r="841" spans="1:8" hidden="1" x14ac:dyDescent="0.3">
      <c r="A841" s="103"/>
      <c r="B841" s="105"/>
      <c r="C841" s="111"/>
      <c r="D841" s="70"/>
      <c r="E841" s="62"/>
      <c r="F841" s="68"/>
      <c r="G841" s="68"/>
      <c r="H841" s="109"/>
    </row>
    <row r="842" spans="1:8" hidden="1" x14ac:dyDescent="0.3">
      <c r="A842" s="103"/>
      <c r="B842" s="105"/>
      <c r="C842" s="111"/>
      <c r="D842" s="70"/>
      <c r="E842" s="62"/>
      <c r="F842" s="68"/>
      <c r="G842" s="68"/>
      <c r="H842" s="109"/>
    </row>
    <row r="843" spans="1:8" hidden="1" x14ac:dyDescent="0.3">
      <c r="A843" s="103"/>
      <c r="B843" s="105"/>
      <c r="C843" s="111"/>
      <c r="D843" s="70"/>
      <c r="E843" s="62"/>
      <c r="F843" s="68"/>
      <c r="G843" s="68"/>
      <c r="H843" s="109"/>
    </row>
    <row r="844" spans="1:8" hidden="1" x14ac:dyDescent="0.3">
      <c r="A844" s="103"/>
      <c r="B844" s="105"/>
      <c r="C844" s="111"/>
      <c r="D844" s="70"/>
      <c r="E844" s="62"/>
      <c r="F844" s="68"/>
      <c r="G844" s="68"/>
      <c r="H844" s="109"/>
    </row>
    <row r="845" spans="1:8" hidden="1" x14ac:dyDescent="0.3">
      <c r="A845" s="103"/>
      <c r="B845" s="105"/>
      <c r="C845" s="111"/>
      <c r="D845" s="70"/>
      <c r="E845" s="62"/>
      <c r="F845" s="68"/>
      <c r="G845" s="68"/>
      <c r="H845" s="109"/>
    </row>
    <row r="846" spans="1:8" hidden="1" x14ac:dyDescent="0.3">
      <c r="A846" s="103"/>
      <c r="B846" s="105"/>
      <c r="C846" s="111"/>
      <c r="D846" s="70"/>
      <c r="E846" s="62"/>
      <c r="F846" s="68"/>
      <c r="G846" s="68"/>
      <c r="H846" s="109"/>
    </row>
    <row r="847" spans="1:8" hidden="1" x14ac:dyDescent="0.3">
      <c r="A847" s="103"/>
      <c r="B847" s="105"/>
      <c r="C847" s="111"/>
      <c r="D847" s="70"/>
      <c r="E847" s="62"/>
      <c r="F847" s="68"/>
      <c r="G847" s="68"/>
      <c r="H847" s="109"/>
    </row>
    <row r="848" spans="1:8" hidden="1" x14ac:dyDescent="0.3">
      <c r="A848" s="103"/>
      <c r="B848" s="105"/>
      <c r="C848" s="111"/>
      <c r="D848" s="70"/>
      <c r="E848" s="62"/>
      <c r="F848" s="68"/>
      <c r="G848" s="68"/>
      <c r="H848" s="109"/>
    </row>
    <row r="849" spans="1:8" hidden="1" x14ac:dyDescent="0.3">
      <c r="A849" s="103"/>
      <c r="B849" s="105"/>
      <c r="C849" s="111"/>
      <c r="D849" s="70"/>
      <c r="E849" s="62"/>
      <c r="F849" s="68"/>
      <c r="G849" s="68"/>
      <c r="H849" s="109"/>
    </row>
    <row r="850" spans="1:8" hidden="1" x14ac:dyDescent="0.3">
      <c r="A850" s="103"/>
      <c r="B850" s="105"/>
      <c r="C850" s="111"/>
      <c r="D850" s="70"/>
      <c r="E850" s="62"/>
      <c r="F850" s="68"/>
      <c r="G850" s="68"/>
      <c r="H850" s="109"/>
    </row>
    <row r="851" spans="1:8" hidden="1" x14ac:dyDescent="0.3">
      <c r="A851" s="103"/>
      <c r="B851" s="105"/>
      <c r="C851" s="111"/>
      <c r="D851" s="70"/>
      <c r="E851" s="62"/>
      <c r="F851" s="68"/>
      <c r="G851" s="68"/>
      <c r="H851" s="109"/>
    </row>
    <row r="852" spans="1:8" hidden="1" x14ac:dyDescent="0.3">
      <c r="A852" s="103"/>
      <c r="B852" s="105"/>
      <c r="C852" s="111"/>
      <c r="D852" s="70"/>
      <c r="E852" s="62"/>
      <c r="F852" s="68"/>
      <c r="G852" s="68"/>
      <c r="H852" s="109"/>
    </row>
    <row r="853" spans="1:8" hidden="1" x14ac:dyDescent="0.3">
      <c r="A853" s="103"/>
      <c r="B853" s="105"/>
      <c r="C853" s="111"/>
      <c r="D853" s="70"/>
      <c r="E853" s="62"/>
      <c r="F853" s="68"/>
      <c r="G853" s="68"/>
      <c r="H853" s="109"/>
    </row>
    <row r="854" spans="1:8" hidden="1" x14ac:dyDescent="0.3">
      <c r="A854" s="103"/>
      <c r="B854" s="105"/>
      <c r="C854" s="111"/>
      <c r="D854" s="70"/>
      <c r="E854" s="62"/>
      <c r="F854" s="68"/>
      <c r="G854" s="68"/>
      <c r="H854" s="109"/>
    </row>
    <row r="855" spans="1:8" hidden="1" x14ac:dyDescent="0.3">
      <c r="A855" s="103"/>
      <c r="B855" s="105"/>
      <c r="C855" s="111"/>
      <c r="D855" s="70"/>
      <c r="E855" s="62"/>
      <c r="F855" s="68"/>
      <c r="G855" s="68"/>
      <c r="H855" s="109"/>
    </row>
    <row r="856" spans="1:8" hidden="1" x14ac:dyDescent="0.3">
      <c r="A856" s="103"/>
      <c r="B856" s="105"/>
      <c r="C856" s="111"/>
      <c r="D856" s="70"/>
      <c r="E856" s="62"/>
      <c r="F856" s="68"/>
      <c r="G856" s="68"/>
      <c r="H856" s="109"/>
    </row>
    <row r="857" spans="1:8" hidden="1" x14ac:dyDescent="0.3">
      <c r="A857" s="103"/>
      <c r="B857" s="105"/>
      <c r="C857" s="111"/>
      <c r="D857" s="70"/>
      <c r="E857" s="62"/>
      <c r="F857" s="68"/>
      <c r="G857" s="68"/>
      <c r="H857" s="109"/>
    </row>
    <row r="858" spans="1:8" hidden="1" x14ac:dyDescent="0.3">
      <c r="A858" s="103"/>
      <c r="B858" s="105"/>
      <c r="C858" s="111"/>
      <c r="D858" s="70"/>
      <c r="E858" s="62"/>
      <c r="F858" s="68"/>
      <c r="G858" s="68"/>
      <c r="H858" s="109"/>
    </row>
    <row r="859" spans="1:8" hidden="1" x14ac:dyDescent="0.3">
      <c r="A859" s="103"/>
      <c r="B859" s="105"/>
      <c r="C859" s="111"/>
      <c r="D859" s="70"/>
      <c r="E859" s="62"/>
      <c r="F859" s="68"/>
      <c r="G859" s="68"/>
      <c r="H859" s="109"/>
    </row>
    <row r="860" spans="1:8" hidden="1" x14ac:dyDescent="0.3">
      <c r="A860" s="103"/>
      <c r="B860" s="105"/>
      <c r="C860" s="111"/>
      <c r="D860" s="70"/>
      <c r="E860" s="62"/>
      <c r="F860" s="68"/>
      <c r="G860" s="68"/>
      <c r="H860" s="109"/>
    </row>
    <row r="861" spans="1:8" hidden="1" x14ac:dyDescent="0.3">
      <c r="A861" s="103"/>
      <c r="B861" s="105"/>
      <c r="C861" s="111"/>
      <c r="D861" s="70"/>
      <c r="E861" s="62"/>
      <c r="F861" s="68"/>
      <c r="G861" s="68"/>
      <c r="H861" s="109"/>
    </row>
    <row r="862" spans="1:8" hidden="1" x14ac:dyDescent="0.3">
      <c r="A862" s="103"/>
      <c r="B862" s="105"/>
      <c r="C862" s="111"/>
      <c r="D862" s="70"/>
      <c r="E862" s="62"/>
      <c r="F862" s="68"/>
      <c r="G862" s="68"/>
      <c r="H862" s="109"/>
    </row>
    <row r="863" spans="1:8" hidden="1" x14ac:dyDescent="0.3">
      <c r="A863" s="103"/>
      <c r="B863" s="105"/>
      <c r="C863" s="111"/>
      <c r="D863" s="70"/>
      <c r="E863" s="62"/>
      <c r="F863" s="68"/>
      <c r="G863" s="68"/>
      <c r="H863" s="109"/>
    </row>
    <row r="864" spans="1:8" hidden="1" x14ac:dyDescent="0.3">
      <c r="A864" s="103"/>
      <c r="B864" s="105"/>
      <c r="C864" s="111"/>
      <c r="D864" s="70"/>
      <c r="E864" s="62"/>
      <c r="F864" s="68"/>
      <c r="G864" s="68"/>
      <c r="H864" s="109"/>
    </row>
    <row r="865" spans="1:8" hidden="1" x14ac:dyDescent="0.3">
      <c r="A865" s="103"/>
      <c r="B865" s="105"/>
      <c r="C865" s="111"/>
      <c r="D865" s="70"/>
      <c r="E865" s="62"/>
      <c r="F865" s="68"/>
      <c r="G865" s="68"/>
      <c r="H865" s="109"/>
    </row>
    <row r="866" spans="1:8" hidden="1" x14ac:dyDescent="0.3">
      <c r="A866" s="103"/>
      <c r="B866" s="105"/>
      <c r="C866" s="111"/>
      <c r="D866" s="70"/>
      <c r="E866" s="62"/>
      <c r="F866" s="68"/>
      <c r="G866" s="68"/>
      <c r="H866" s="109"/>
    </row>
    <row r="867" spans="1:8" hidden="1" x14ac:dyDescent="0.3">
      <c r="A867" s="103"/>
      <c r="B867" s="105"/>
      <c r="C867" s="111"/>
      <c r="D867" s="70"/>
      <c r="E867" s="62"/>
      <c r="F867" s="68"/>
      <c r="G867" s="68"/>
      <c r="H867" s="109"/>
    </row>
    <row r="868" spans="1:8" hidden="1" x14ac:dyDescent="0.3">
      <c r="A868" s="103"/>
      <c r="B868" s="105"/>
      <c r="C868" s="111"/>
      <c r="D868" s="70"/>
      <c r="E868" s="62"/>
      <c r="F868" s="68"/>
      <c r="G868" s="68"/>
      <c r="H868" s="109"/>
    </row>
    <row r="869" spans="1:8" hidden="1" x14ac:dyDescent="0.3">
      <c r="A869" s="103"/>
      <c r="B869" s="105"/>
      <c r="C869" s="111"/>
      <c r="D869" s="70"/>
      <c r="E869" s="62"/>
      <c r="F869" s="68"/>
      <c r="G869" s="68"/>
      <c r="H869" s="109"/>
    </row>
    <row r="870" spans="1:8" hidden="1" x14ac:dyDescent="0.3">
      <c r="A870" s="103"/>
      <c r="B870" s="105"/>
      <c r="C870" s="111"/>
      <c r="D870" s="70"/>
      <c r="E870" s="62"/>
      <c r="F870" s="68"/>
      <c r="G870" s="68"/>
      <c r="H870" s="109"/>
    </row>
    <row r="871" spans="1:8" hidden="1" x14ac:dyDescent="0.3">
      <c r="A871" s="103"/>
      <c r="B871" s="105"/>
      <c r="C871" s="111"/>
      <c r="D871" s="70"/>
      <c r="E871" s="62"/>
      <c r="F871" s="68"/>
      <c r="G871" s="68"/>
      <c r="H871" s="109"/>
    </row>
    <row r="872" spans="1:8" hidden="1" x14ac:dyDescent="0.3">
      <c r="A872" s="103"/>
      <c r="B872" s="105"/>
      <c r="C872" s="111"/>
      <c r="D872" s="70"/>
      <c r="E872" s="62"/>
      <c r="F872" s="68"/>
      <c r="G872" s="68"/>
      <c r="H872" s="109"/>
    </row>
    <row r="873" spans="1:8" hidden="1" x14ac:dyDescent="0.3">
      <c r="A873" s="103"/>
      <c r="B873" s="105"/>
      <c r="C873" s="111"/>
      <c r="D873" s="70"/>
      <c r="E873" s="62"/>
      <c r="F873" s="68"/>
      <c r="G873" s="68"/>
      <c r="H873" s="109"/>
    </row>
    <row r="874" spans="1:8" hidden="1" x14ac:dyDescent="0.3">
      <c r="A874" s="103"/>
      <c r="B874" s="105"/>
      <c r="C874" s="111"/>
      <c r="D874" s="70"/>
      <c r="E874" s="62"/>
      <c r="F874" s="68"/>
      <c r="G874" s="68"/>
      <c r="H874" s="109"/>
    </row>
    <row r="875" spans="1:8" hidden="1" x14ac:dyDescent="0.3">
      <c r="A875" s="103"/>
      <c r="B875" s="105"/>
      <c r="C875" s="111"/>
      <c r="D875" s="70"/>
      <c r="E875" s="62"/>
      <c r="F875" s="68"/>
      <c r="G875" s="68"/>
      <c r="H875" s="109"/>
    </row>
    <row r="876" spans="1:8" hidden="1" x14ac:dyDescent="0.3">
      <c r="A876" s="103"/>
      <c r="B876" s="105"/>
      <c r="C876" s="111"/>
      <c r="D876" s="70"/>
      <c r="E876" s="62"/>
      <c r="F876" s="68"/>
      <c r="G876" s="68"/>
      <c r="H876" s="109"/>
    </row>
    <row r="877" spans="1:8" hidden="1" x14ac:dyDescent="0.3">
      <c r="A877" s="103"/>
      <c r="B877" s="105"/>
      <c r="C877" s="111"/>
      <c r="D877" s="70"/>
      <c r="E877" s="62"/>
      <c r="F877" s="68"/>
      <c r="G877" s="68"/>
      <c r="H877" s="109"/>
    </row>
    <row r="878" spans="1:8" hidden="1" x14ac:dyDescent="0.3">
      <c r="A878" s="103"/>
      <c r="B878" s="105"/>
      <c r="C878" s="111"/>
      <c r="D878" s="70"/>
      <c r="E878" s="62"/>
      <c r="F878" s="68"/>
      <c r="G878" s="68"/>
      <c r="H878" s="109"/>
    </row>
    <row r="879" spans="1:8" hidden="1" x14ac:dyDescent="0.3">
      <c r="A879" s="103"/>
      <c r="B879" s="105"/>
      <c r="C879" s="111"/>
      <c r="D879" s="70"/>
      <c r="E879" s="62"/>
      <c r="F879" s="68"/>
      <c r="G879" s="68"/>
      <c r="H879" s="109"/>
    </row>
    <row r="880" spans="1:8" hidden="1" x14ac:dyDescent="0.3">
      <c r="A880" s="103"/>
      <c r="B880" s="105"/>
      <c r="C880" s="111"/>
      <c r="D880" s="70"/>
      <c r="E880" s="62"/>
      <c r="F880" s="68"/>
      <c r="G880" s="68"/>
      <c r="H880" s="109"/>
    </row>
    <row r="881" spans="1:8" hidden="1" x14ac:dyDescent="0.3">
      <c r="A881" s="103"/>
      <c r="B881" s="105"/>
      <c r="C881" s="111"/>
      <c r="D881" s="70"/>
      <c r="E881" s="62"/>
      <c r="F881" s="68"/>
      <c r="G881" s="68"/>
      <c r="H881" s="109"/>
    </row>
    <row r="882" spans="1:8" hidden="1" x14ac:dyDescent="0.3">
      <c r="A882" s="103"/>
      <c r="B882" s="105"/>
      <c r="C882" s="111"/>
      <c r="D882" s="70"/>
      <c r="E882" s="62"/>
      <c r="F882" s="68"/>
      <c r="G882" s="68"/>
      <c r="H882" s="109"/>
    </row>
    <row r="883" spans="1:8" hidden="1" x14ac:dyDescent="0.3">
      <c r="A883" s="103"/>
      <c r="B883" s="105"/>
      <c r="C883" s="111"/>
      <c r="D883" s="70"/>
      <c r="E883" s="62"/>
      <c r="F883" s="68"/>
      <c r="G883" s="68"/>
      <c r="H883" s="109"/>
    </row>
    <row r="884" spans="1:8" hidden="1" x14ac:dyDescent="0.3">
      <c r="A884" s="103"/>
      <c r="B884" s="105"/>
      <c r="C884" s="111"/>
      <c r="D884" s="70"/>
      <c r="E884" s="62"/>
      <c r="F884" s="68"/>
      <c r="G884" s="68"/>
      <c r="H884" s="109"/>
    </row>
    <row r="885" spans="1:8" hidden="1" x14ac:dyDescent="0.3">
      <c r="A885" s="103"/>
      <c r="B885" s="105"/>
      <c r="C885" s="111"/>
      <c r="D885" s="70"/>
      <c r="E885" s="62"/>
      <c r="F885" s="68"/>
      <c r="G885" s="68"/>
      <c r="H885" s="109"/>
    </row>
    <row r="886" spans="1:8" hidden="1" x14ac:dyDescent="0.3">
      <c r="A886" s="103"/>
      <c r="B886" s="105"/>
      <c r="C886" s="111"/>
      <c r="D886" s="70"/>
      <c r="E886" s="62"/>
      <c r="F886" s="68"/>
      <c r="G886" s="68"/>
      <c r="H886" s="109"/>
    </row>
    <row r="887" spans="1:8" hidden="1" x14ac:dyDescent="0.3">
      <c r="A887" s="103"/>
      <c r="B887" s="105"/>
      <c r="C887" s="111"/>
      <c r="D887" s="70"/>
      <c r="E887" s="62"/>
      <c r="F887" s="68"/>
      <c r="G887" s="68"/>
      <c r="H887" s="109"/>
    </row>
    <row r="888" spans="1:8" hidden="1" x14ac:dyDescent="0.3">
      <c r="A888" s="103"/>
      <c r="B888" s="105"/>
      <c r="C888" s="111"/>
      <c r="D888" s="70"/>
      <c r="E888" s="62"/>
      <c r="F888" s="68"/>
      <c r="G888" s="68"/>
      <c r="H888" s="109"/>
    </row>
    <row r="889" spans="1:8" hidden="1" x14ac:dyDescent="0.3">
      <c r="A889" s="103"/>
      <c r="B889" s="105"/>
      <c r="C889" s="111"/>
      <c r="D889" s="70"/>
      <c r="E889" s="62"/>
      <c r="F889" s="68"/>
      <c r="G889" s="68"/>
      <c r="H889" s="109"/>
    </row>
    <row r="890" spans="1:8" hidden="1" x14ac:dyDescent="0.3">
      <c r="A890" s="103"/>
      <c r="B890" s="105"/>
      <c r="C890" s="111"/>
      <c r="D890" s="70"/>
      <c r="E890" s="62"/>
      <c r="F890" s="68"/>
      <c r="G890" s="68"/>
      <c r="H890" s="109"/>
    </row>
    <row r="891" spans="1:8" hidden="1" x14ac:dyDescent="0.3">
      <c r="A891" s="103"/>
      <c r="B891" s="105"/>
      <c r="C891" s="111"/>
      <c r="D891" s="70"/>
      <c r="E891" s="62"/>
      <c r="F891" s="68"/>
      <c r="G891" s="68"/>
      <c r="H891" s="109"/>
    </row>
    <row r="892" spans="1:8" hidden="1" x14ac:dyDescent="0.3">
      <c r="A892" s="103"/>
      <c r="B892" s="105"/>
      <c r="C892" s="111"/>
      <c r="D892" s="70"/>
      <c r="E892" s="62"/>
      <c r="F892" s="68"/>
      <c r="G892" s="68"/>
      <c r="H892" s="109"/>
    </row>
    <row r="893" spans="1:8" hidden="1" x14ac:dyDescent="0.3">
      <c r="A893" s="103"/>
      <c r="B893" s="105"/>
      <c r="C893" s="111"/>
      <c r="D893" s="70"/>
      <c r="E893" s="62"/>
      <c r="F893" s="68"/>
      <c r="G893" s="68"/>
      <c r="H893" s="109"/>
    </row>
    <row r="894" spans="1:8" hidden="1" x14ac:dyDescent="0.3">
      <c r="A894" s="103"/>
      <c r="B894" s="105"/>
      <c r="C894" s="111"/>
      <c r="D894" s="70"/>
      <c r="E894" s="62"/>
      <c r="F894" s="68"/>
      <c r="G894" s="68"/>
      <c r="H894" s="109"/>
    </row>
    <row r="895" spans="1:8" hidden="1" x14ac:dyDescent="0.3">
      <c r="A895" s="103"/>
      <c r="B895" s="105"/>
      <c r="C895" s="111"/>
      <c r="D895" s="70"/>
      <c r="E895" s="62"/>
      <c r="F895" s="68"/>
      <c r="G895" s="68"/>
      <c r="H895" s="109"/>
    </row>
    <row r="896" spans="1:8" hidden="1" x14ac:dyDescent="0.3">
      <c r="A896" s="103"/>
      <c r="B896" s="105"/>
      <c r="C896" s="111"/>
      <c r="D896" s="70"/>
      <c r="E896" s="62"/>
      <c r="F896" s="68"/>
      <c r="G896" s="68"/>
      <c r="H896" s="109"/>
    </row>
    <row r="897" spans="1:8" hidden="1" x14ac:dyDescent="0.3">
      <c r="A897" s="103"/>
      <c r="B897" s="105"/>
      <c r="C897" s="111"/>
      <c r="D897" s="70"/>
      <c r="E897" s="62"/>
      <c r="F897" s="68"/>
      <c r="G897" s="68"/>
      <c r="H897" s="109"/>
    </row>
    <row r="898" spans="1:8" hidden="1" x14ac:dyDescent="0.3">
      <c r="A898" s="103"/>
      <c r="B898" s="105"/>
      <c r="C898" s="111"/>
      <c r="D898" s="70"/>
      <c r="E898" s="62"/>
      <c r="F898" s="68"/>
      <c r="G898" s="68"/>
      <c r="H898" s="109"/>
    </row>
    <row r="899" spans="1:8" hidden="1" x14ac:dyDescent="0.3">
      <c r="A899" s="103"/>
      <c r="B899" s="105"/>
      <c r="C899" s="111"/>
      <c r="D899" s="70"/>
      <c r="E899" s="62"/>
      <c r="F899" s="68"/>
      <c r="G899" s="68"/>
      <c r="H899" s="109"/>
    </row>
    <row r="900" spans="1:8" hidden="1" x14ac:dyDescent="0.3">
      <c r="A900" s="103"/>
      <c r="B900" s="105"/>
      <c r="C900" s="111"/>
      <c r="D900" s="70"/>
      <c r="E900" s="62"/>
      <c r="F900" s="68"/>
      <c r="G900" s="68"/>
      <c r="H900" s="109"/>
    </row>
    <row r="901" spans="1:8" hidden="1" x14ac:dyDescent="0.3">
      <c r="A901" s="103"/>
      <c r="B901" s="105"/>
      <c r="C901" s="111"/>
      <c r="D901" s="70"/>
      <c r="E901" s="62"/>
      <c r="F901" s="68"/>
      <c r="G901" s="68"/>
      <c r="H901" s="109"/>
    </row>
    <row r="902" spans="1:8" hidden="1" x14ac:dyDescent="0.3">
      <c r="A902" s="103"/>
      <c r="B902" s="105"/>
      <c r="C902" s="111"/>
      <c r="D902" s="70"/>
      <c r="E902" s="62"/>
      <c r="F902" s="68"/>
      <c r="G902" s="68"/>
      <c r="H902" s="109"/>
    </row>
    <row r="903" spans="1:8" hidden="1" x14ac:dyDescent="0.3">
      <c r="A903" s="103"/>
      <c r="B903" s="105"/>
      <c r="C903" s="111"/>
      <c r="D903" s="70"/>
      <c r="E903" s="62"/>
      <c r="F903" s="68"/>
      <c r="G903" s="68"/>
      <c r="H903" s="109"/>
    </row>
    <row r="904" spans="1:8" hidden="1" x14ac:dyDescent="0.3">
      <c r="A904" s="103"/>
      <c r="B904" s="105"/>
      <c r="C904" s="111"/>
      <c r="D904" s="70"/>
      <c r="E904" s="62"/>
      <c r="F904" s="68"/>
      <c r="G904" s="68"/>
      <c r="H904" s="109"/>
    </row>
    <row r="905" spans="1:8" hidden="1" x14ac:dyDescent="0.3">
      <c r="A905" s="103"/>
      <c r="B905" s="105"/>
      <c r="C905" s="111"/>
      <c r="D905" s="70"/>
      <c r="E905" s="62"/>
      <c r="F905" s="68"/>
      <c r="G905" s="68"/>
      <c r="H905" s="109"/>
    </row>
    <row r="906" spans="1:8" hidden="1" x14ac:dyDescent="0.3">
      <c r="A906" s="103"/>
      <c r="B906" s="105"/>
      <c r="C906" s="111"/>
      <c r="D906" s="70"/>
      <c r="E906" s="62"/>
      <c r="F906" s="68"/>
      <c r="G906" s="68"/>
      <c r="H906" s="109"/>
    </row>
    <row r="907" spans="1:8" hidden="1" x14ac:dyDescent="0.3">
      <c r="A907" s="103"/>
      <c r="B907" s="105"/>
      <c r="C907" s="111"/>
      <c r="D907" s="70"/>
      <c r="E907" s="62"/>
      <c r="F907" s="68"/>
      <c r="G907" s="68"/>
      <c r="H907" s="109"/>
    </row>
    <row r="908" spans="1:8" hidden="1" x14ac:dyDescent="0.3">
      <c r="A908" s="103"/>
      <c r="B908" s="105"/>
      <c r="C908" s="111"/>
      <c r="D908" s="70"/>
      <c r="E908" s="62"/>
      <c r="F908" s="68"/>
      <c r="G908" s="68"/>
      <c r="H908" s="109"/>
    </row>
    <row r="909" spans="1:8" hidden="1" x14ac:dyDescent="0.3">
      <c r="A909" s="103"/>
      <c r="B909" s="105"/>
      <c r="C909" s="111"/>
      <c r="D909" s="70"/>
      <c r="E909" s="62"/>
      <c r="F909" s="68"/>
      <c r="G909" s="68"/>
      <c r="H909" s="109"/>
    </row>
    <row r="910" spans="1:8" hidden="1" x14ac:dyDescent="0.3">
      <c r="A910" s="103"/>
      <c r="B910" s="105"/>
      <c r="C910" s="111"/>
      <c r="D910" s="70"/>
      <c r="E910" s="62"/>
      <c r="F910" s="68"/>
      <c r="G910" s="68"/>
      <c r="H910" s="109"/>
    </row>
    <row r="911" spans="1:8" hidden="1" x14ac:dyDescent="0.3">
      <c r="A911" s="103"/>
      <c r="B911" s="105"/>
      <c r="C911" s="111"/>
      <c r="D911" s="70"/>
      <c r="E911" s="62"/>
      <c r="F911" s="68"/>
      <c r="G911" s="68"/>
      <c r="H911" s="109"/>
    </row>
    <row r="912" spans="1:8" hidden="1" x14ac:dyDescent="0.3">
      <c r="A912" s="103"/>
      <c r="B912" s="105"/>
      <c r="C912" s="111"/>
      <c r="D912" s="70"/>
      <c r="E912" s="62"/>
      <c r="F912" s="68"/>
      <c r="G912" s="68"/>
      <c r="H912" s="109"/>
    </row>
    <row r="913" spans="1:8" hidden="1" x14ac:dyDescent="0.3">
      <c r="A913" s="103"/>
      <c r="B913" s="105"/>
      <c r="C913" s="111"/>
      <c r="D913" s="70"/>
      <c r="E913" s="62"/>
      <c r="F913" s="68"/>
      <c r="G913" s="68"/>
      <c r="H913" s="109"/>
    </row>
    <row r="914" spans="1:8" hidden="1" x14ac:dyDescent="0.3">
      <c r="A914" s="103"/>
      <c r="B914" s="105"/>
      <c r="C914" s="111"/>
      <c r="D914" s="70"/>
      <c r="E914" s="62"/>
      <c r="F914" s="68"/>
      <c r="G914" s="68"/>
      <c r="H914" s="109"/>
    </row>
    <row r="915" spans="1:8" hidden="1" x14ac:dyDescent="0.3">
      <c r="A915" s="103"/>
      <c r="B915" s="105"/>
      <c r="C915" s="111"/>
      <c r="D915" s="70"/>
      <c r="E915" s="62"/>
      <c r="F915" s="68"/>
      <c r="G915" s="68"/>
      <c r="H915" s="109"/>
    </row>
    <row r="916" spans="1:8" hidden="1" x14ac:dyDescent="0.3">
      <c r="A916" s="103"/>
      <c r="B916" s="105"/>
      <c r="C916" s="111"/>
      <c r="D916" s="70"/>
      <c r="E916" s="62"/>
      <c r="F916" s="68"/>
      <c r="G916" s="68"/>
      <c r="H916" s="109"/>
    </row>
    <row r="917" spans="1:8" hidden="1" x14ac:dyDescent="0.3">
      <c r="A917" s="103"/>
      <c r="B917" s="105"/>
      <c r="C917" s="111"/>
      <c r="D917" s="70"/>
      <c r="E917" s="62"/>
      <c r="F917" s="68"/>
      <c r="G917" s="68"/>
      <c r="H917" s="109"/>
    </row>
    <row r="918" spans="1:8" hidden="1" x14ac:dyDescent="0.3">
      <c r="A918" s="103"/>
      <c r="B918" s="105"/>
      <c r="C918" s="111"/>
      <c r="D918" s="70"/>
      <c r="E918" s="62"/>
      <c r="F918" s="68"/>
      <c r="G918" s="68"/>
      <c r="H918" s="109"/>
    </row>
    <row r="919" spans="1:8" hidden="1" x14ac:dyDescent="0.3">
      <c r="A919" s="103"/>
      <c r="B919" s="105"/>
      <c r="C919" s="111"/>
      <c r="D919" s="70"/>
      <c r="E919" s="62"/>
      <c r="F919" s="68"/>
      <c r="G919" s="68"/>
      <c r="H919" s="109"/>
    </row>
    <row r="920" spans="1:8" hidden="1" x14ac:dyDescent="0.3">
      <c r="A920" s="103"/>
      <c r="B920" s="105"/>
      <c r="C920" s="111"/>
      <c r="D920" s="70"/>
      <c r="E920" s="62"/>
      <c r="F920" s="68"/>
      <c r="G920" s="68"/>
      <c r="H920" s="109"/>
    </row>
    <row r="921" spans="1:8" hidden="1" x14ac:dyDescent="0.3">
      <c r="A921" s="103"/>
      <c r="B921" s="105"/>
      <c r="C921" s="111"/>
      <c r="D921" s="70"/>
      <c r="E921" s="62"/>
      <c r="F921" s="68"/>
      <c r="G921" s="68"/>
      <c r="H921" s="109"/>
    </row>
    <row r="922" spans="1:8" hidden="1" x14ac:dyDescent="0.3">
      <c r="A922" s="103"/>
      <c r="B922" s="105"/>
      <c r="C922" s="111"/>
      <c r="D922" s="70"/>
      <c r="E922" s="62"/>
      <c r="F922" s="68"/>
      <c r="G922" s="68"/>
      <c r="H922" s="109"/>
    </row>
    <row r="923" spans="1:8" hidden="1" x14ac:dyDescent="0.3">
      <c r="A923" s="103"/>
      <c r="B923" s="105"/>
      <c r="C923" s="111"/>
      <c r="D923" s="70"/>
      <c r="E923" s="62"/>
      <c r="F923" s="68"/>
      <c r="G923" s="68"/>
      <c r="H923" s="109"/>
    </row>
    <row r="924" spans="1:8" hidden="1" x14ac:dyDescent="0.3">
      <c r="A924" s="103"/>
      <c r="B924" s="105"/>
      <c r="C924" s="111"/>
      <c r="D924" s="70"/>
      <c r="E924" s="62"/>
      <c r="F924" s="68"/>
      <c r="G924" s="68"/>
      <c r="H924" s="109"/>
    </row>
    <row r="925" spans="1:8" hidden="1" x14ac:dyDescent="0.3">
      <c r="A925" s="103"/>
      <c r="B925" s="105"/>
      <c r="C925" s="111"/>
      <c r="D925" s="70"/>
      <c r="E925" s="62"/>
      <c r="F925" s="68"/>
      <c r="G925" s="68"/>
      <c r="H925" s="109"/>
    </row>
    <row r="926" spans="1:8" hidden="1" x14ac:dyDescent="0.3">
      <c r="A926" s="103"/>
      <c r="B926" s="105"/>
      <c r="C926" s="111"/>
      <c r="D926" s="70"/>
      <c r="E926" s="62"/>
      <c r="F926" s="68"/>
      <c r="G926" s="68"/>
      <c r="H926" s="109"/>
    </row>
    <row r="927" spans="1:8" hidden="1" x14ac:dyDescent="0.3">
      <c r="A927" s="103"/>
      <c r="B927" s="105"/>
      <c r="C927" s="111"/>
      <c r="D927" s="70"/>
      <c r="E927" s="62"/>
      <c r="F927" s="68"/>
      <c r="G927" s="68"/>
      <c r="H927" s="109"/>
    </row>
    <row r="928" spans="1:8" hidden="1" x14ac:dyDescent="0.3">
      <c r="A928" s="103"/>
      <c r="B928" s="105"/>
      <c r="C928" s="111"/>
      <c r="D928" s="70"/>
      <c r="E928" s="62"/>
      <c r="F928" s="68"/>
      <c r="G928" s="68"/>
      <c r="H928" s="109"/>
    </row>
    <row r="929" spans="1:8" hidden="1" x14ac:dyDescent="0.3">
      <c r="A929" s="103"/>
      <c r="B929" s="105"/>
      <c r="C929" s="111"/>
      <c r="D929" s="70"/>
      <c r="E929" s="62"/>
      <c r="F929" s="68"/>
      <c r="G929" s="68"/>
      <c r="H929" s="109"/>
    </row>
    <row r="930" spans="1:8" hidden="1" x14ac:dyDescent="0.3">
      <c r="A930" s="103"/>
      <c r="B930" s="105"/>
      <c r="C930" s="111"/>
      <c r="D930" s="70"/>
      <c r="E930" s="62"/>
      <c r="F930" s="68"/>
      <c r="G930" s="68"/>
      <c r="H930" s="109"/>
    </row>
    <row r="931" spans="1:8" hidden="1" x14ac:dyDescent="0.3">
      <c r="A931" s="103"/>
      <c r="B931" s="105"/>
      <c r="C931" s="111"/>
      <c r="D931" s="70"/>
      <c r="E931" s="62"/>
      <c r="F931" s="68"/>
      <c r="G931" s="68"/>
      <c r="H931" s="109"/>
    </row>
    <row r="932" spans="1:8" hidden="1" x14ac:dyDescent="0.3">
      <c r="A932" s="103"/>
      <c r="B932" s="105"/>
      <c r="C932" s="111"/>
      <c r="D932" s="70"/>
      <c r="E932" s="62"/>
      <c r="F932" s="68"/>
      <c r="G932" s="68"/>
      <c r="H932" s="109"/>
    </row>
    <row r="933" spans="1:8" hidden="1" x14ac:dyDescent="0.3">
      <c r="A933" s="103"/>
      <c r="B933" s="105"/>
      <c r="C933" s="111"/>
      <c r="D933" s="70"/>
      <c r="E933" s="62"/>
      <c r="F933" s="68"/>
      <c r="G933" s="68"/>
      <c r="H933" s="109"/>
    </row>
    <row r="934" spans="1:8" hidden="1" x14ac:dyDescent="0.3">
      <c r="A934" s="103"/>
      <c r="B934" s="105"/>
      <c r="C934" s="111"/>
      <c r="D934" s="70"/>
      <c r="E934" s="62"/>
      <c r="F934" s="68"/>
      <c r="G934" s="68"/>
      <c r="H934" s="109"/>
    </row>
    <row r="935" spans="1:8" hidden="1" x14ac:dyDescent="0.3">
      <c r="A935" s="103"/>
      <c r="B935" s="105"/>
      <c r="C935" s="111"/>
      <c r="D935" s="70"/>
      <c r="E935" s="62"/>
      <c r="F935" s="68"/>
      <c r="G935" s="68"/>
      <c r="H935" s="109"/>
    </row>
    <row r="936" spans="1:8" hidden="1" x14ac:dyDescent="0.3">
      <c r="A936" s="103"/>
      <c r="B936" s="105"/>
      <c r="C936" s="111"/>
      <c r="D936" s="70"/>
      <c r="E936" s="62"/>
      <c r="F936" s="68"/>
      <c r="G936" s="68"/>
      <c r="H936" s="109"/>
    </row>
    <row r="937" spans="1:8" hidden="1" x14ac:dyDescent="0.3">
      <c r="A937" s="103"/>
      <c r="B937" s="105"/>
      <c r="C937" s="111"/>
      <c r="D937" s="70"/>
      <c r="E937" s="62"/>
      <c r="F937" s="68"/>
      <c r="G937" s="68"/>
      <c r="H937" s="109"/>
    </row>
    <row r="938" spans="1:8" hidden="1" x14ac:dyDescent="0.3">
      <c r="A938" s="103"/>
      <c r="B938" s="105"/>
      <c r="C938" s="111"/>
      <c r="D938" s="70"/>
      <c r="E938" s="62"/>
      <c r="F938" s="68"/>
      <c r="G938" s="68"/>
      <c r="H938" s="109"/>
    </row>
    <row r="939" spans="1:8" hidden="1" x14ac:dyDescent="0.3">
      <c r="A939" s="103"/>
      <c r="B939" s="105"/>
      <c r="C939" s="111"/>
      <c r="D939" s="70"/>
      <c r="E939" s="62"/>
      <c r="F939" s="68"/>
      <c r="G939" s="68"/>
      <c r="H939" s="109"/>
    </row>
    <row r="940" spans="1:8" hidden="1" x14ac:dyDescent="0.3">
      <c r="A940" s="103"/>
      <c r="B940" s="105"/>
      <c r="C940" s="111"/>
      <c r="D940" s="70"/>
      <c r="E940" s="62"/>
      <c r="F940" s="68"/>
      <c r="G940" s="68"/>
      <c r="H940" s="109"/>
    </row>
    <row r="941" spans="1:8" hidden="1" x14ac:dyDescent="0.3">
      <c r="A941" s="103"/>
      <c r="B941" s="105"/>
      <c r="C941" s="111"/>
      <c r="D941" s="70"/>
      <c r="E941" s="62"/>
      <c r="F941" s="68"/>
      <c r="G941" s="68"/>
      <c r="H941" s="109"/>
    </row>
    <row r="942" spans="1:8" hidden="1" x14ac:dyDescent="0.3">
      <c r="A942" s="103"/>
      <c r="B942" s="105"/>
      <c r="C942" s="111"/>
      <c r="D942" s="70"/>
      <c r="E942" s="62"/>
      <c r="F942" s="68"/>
      <c r="G942" s="68"/>
      <c r="H942" s="109"/>
    </row>
    <row r="943" spans="1:8" hidden="1" x14ac:dyDescent="0.3">
      <c r="A943" s="103"/>
      <c r="B943" s="105"/>
      <c r="C943" s="111"/>
      <c r="D943" s="70"/>
      <c r="E943" s="62"/>
      <c r="F943" s="68"/>
      <c r="G943" s="68"/>
      <c r="H943" s="109"/>
    </row>
    <row r="944" spans="1:8" hidden="1" x14ac:dyDescent="0.3">
      <c r="A944" s="103"/>
      <c r="B944" s="105"/>
      <c r="C944" s="111"/>
      <c r="D944" s="70"/>
      <c r="E944" s="62"/>
      <c r="F944" s="68"/>
      <c r="G944" s="68"/>
      <c r="H944" s="109"/>
    </row>
    <row r="945" spans="1:8" hidden="1" x14ac:dyDescent="0.3">
      <c r="A945" s="103"/>
      <c r="B945" s="105"/>
      <c r="C945" s="111"/>
      <c r="D945" s="70"/>
      <c r="E945" s="62"/>
      <c r="F945" s="68"/>
      <c r="G945" s="68"/>
      <c r="H945" s="109"/>
    </row>
    <row r="946" spans="1:8" hidden="1" x14ac:dyDescent="0.3">
      <c r="A946" s="103"/>
      <c r="B946" s="105"/>
      <c r="C946" s="111"/>
      <c r="D946" s="70"/>
      <c r="E946" s="62"/>
      <c r="F946" s="68"/>
      <c r="G946" s="68"/>
      <c r="H946" s="109"/>
    </row>
    <row r="947" spans="1:8" hidden="1" x14ac:dyDescent="0.3">
      <c r="A947" s="103"/>
      <c r="B947" s="105"/>
      <c r="C947" s="111"/>
      <c r="D947" s="70"/>
      <c r="E947" s="62"/>
      <c r="F947" s="68"/>
      <c r="G947" s="68"/>
      <c r="H947" s="109"/>
    </row>
    <row r="948" spans="1:8" hidden="1" x14ac:dyDescent="0.3">
      <c r="A948" s="103"/>
      <c r="B948" s="105"/>
      <c r="C948" s="111"/>
      <c r="D948" s="70"/>
      <c r="E948" s="62"/>
      <c r="F948" s="68"/>
      <c r="G948" s="68"/>
      <c r="H948" s="109"/>
    </row>
    <row r="949" spans="1:8" hidden="1" x14ac:dyDescent="0.3">
      <c r="A949" s="103"/>
      <c r="B949" s="105"/>
      <c r="C949" s="111"/>
      <c r="D949" s="70"/>
      <c r="E949" s="62"/>
      <c r="F949" s="68"/>
      <c r="G949" s="68"/>
      <c r="H949" s="109"/>
    </row>
    <row r="950" spans="1:8" hidden="1" x14ac:dyDescent="0.3">
      <c r="A950" s="103"/>
      <c r="B950" s="105"/>
      <c r="C950" s="111"/>
      <c r="D950" s="70"/>
      <c r="E950" s="62"/>
      <c r="F950" s="68"/>
      <c r="G950" s="68"/>
      <c r="H950" s="109"/>
    </row>
    <row r="951" spans="1:8" hidden="1" x14ac:dyDescent="0.3">
      <c r="A951" s="103"/>
      <c r="B951" s="105"/>
      <c r="C951" s="111"/>
      <c r="D951" s="70"/>
      <c r="E951" s="62"/>
      <c r="F951" s="68"/>
      <c r="G951" s="68"/>
      <c r="H951" s="109"/>
    </row>
    <row r="952" spans="1:8" hidden="1" x14ac:dyDescent="0.3">
      <c r="A952" s="103"/>
      <c r="B952" s="105"/>
      <c r="C952" s="111"/>
      <c r="D952" s="70"/>
      <c r="E952" s="62"/>
      <c r="F952" s="68"/>
      <c r="G952" s="68"/>
      <c r="H952" s="109"/>
    </row>
    <row r="953" spans="1:8" hidden="1" x14ac:dyDescent="0.3">
      <c r="A953" s="103"/>
      <c r="B953" s="105"/>
      <c r="C953" s="111"/>
      <c r="D953" s="70"/>
      <c r="E953" s="62"/>
      <c r="F953" s="68"/>
      <c r="G953" s="68"/>
      <c r="H953" s="109"/>
    </row>
    <row r="954" spans="1:8" hidden="1" x14ac:dyDescent="0.3">
      <c r="A954" s="103"/>
      <c r="B954" s="105"/>
      <c r="C954" s="111"/>
      <c r="D954" s="70"/>
      <c r="E954" s="62"/>
      <c r="F954" s="68"/>
      <c r="G954" s="68"/>
      <c r="H954" s="109"/>
    </row>
    <row r="955" spans="1:8" hidden="1" x14ac:dyDescent="0.3">
      <c r="A955" s="103"/>
      <c r="B955" s="105"/>
      <c r="C955" s="111"/>
      <c r="D955" s="70"/>
      <c r="E955" s="62"/>
      <c r="F955" s="68"/>
      <c r="G955" s="68"/>
      <c r="H955" s="109"/>
    </row>
    <row r="956" spans="1:8" hidden="1" x14ac:dyDescent="0.3">
      <c r="A956" s="103"/>
      <c r="B956" s="105"/>
      <c r="C956" s="111"/>
      <c r="D956" s="70"/>
      <c r="E956" s="62"/>
      <c r="F956" s="68"/>
      <c r="G956" s="68"/>
      <c r="H956" s="109"/>
    </row>
    <row r="957" spans="1:8" hidden="1" x14ac:dyDescent="0.3">
      <c r="A957" s="103"/>
      <c r="B957" s="105"/>
      <c r="C957" s="111"/>
      <c r="D957" s="70"/>
      <c r="E957" s="62"/>
      <c r="F957" s="68"/>
      <c r="G957" s="68"/>
      <c r="H957" s="109"/>
    </row>
    <row r="958" spans="1:8" hidden="1" x14ac:dyDescent="0.3">
      <c r="A958" s="103"/>
      <c r="B958" s="105"/>
      <c r="C958" s="111"/>
      <c r="D958" s="70"/>
      <c r="E958" s="62"/>
      <c r="F958" s="68"/>
      <c r="G958" s="68"/>
      <c r="H958" s="109"/>
    </row>
    <row r="959" spans="1:8" hidden="1" x14ac:dyDescent="0.3">
      <c r="A959" s="103"/>
      <c r="B959" s="105"/>
      <c r="C959" s="111"/>
      <c r="D959" s="70"/>
      <c r="E959" s="62"/>
      <c r="F959" s="68"/>
      <c r="G959" s="68"/>
      <c r="H959" s="109"/>
    </row>
    <row r="960" spans="1:8" hidden="1" x14ac:dyDescent="0.3">
      <c r="A960" s="103"/>
      <c r="B960" s="105"/>
      <c r="C960" s="111"/>
      <c r="D960" s="70"/>
      <c r="E960" s="62"/>
      <c r="F960" s="68"/>
      <c r="G960" s="68"/>
      <c r="H960" s="109"/>
    </row>
    <row r="961" spans="1:8" hidden="1" x14ac:dyDescent="0.3">
      <c r="A961" s="103"/>
      <c r="B961" s="105"/>
      <c r="C961" s="111"/>
      <c r="D961" s="70"/>
      <c r="E961" s="62"/>
      <c r="F961" s="68"/>
      <c r="G961" s="68"/>
      <c r="H961" s="109"/>
    </row>
    <row r="962" spans="1:8" hidden="1" x14ac:dyDescent="0.3">
      <c r="A962" s="103"/>
      <c r="B962" s="105"/>
      <c r="C962" s="111"/>
      <c r="D962" s="70"/>
      <c r="E962" s="62"/>
      <c r="F962" s="68"/>
      <c r="G962" s="68"/>
      <c r="H962" s="109"/>
    </row>
    <row r="963" spans="1:8" hidden="1" x14ac:dyDescent="0.3">
      <c r="A963" s="103"/>
      <c r="B963" s="105"/>
      <c r="C963" s="111"/>
      <c r="D963" s="70"/>
      <c r="E963" s="62"/>
      <c r="F963" s="68"/>
      <c r="G963" s="68"/>
      <c r="H963" s="109"/>
    </row>
    <row r="964" spans="1:8" hidden="1" x14ac:dyDescent="0.3">
      <c r="A964" s="103"/>
      <c r="B964" s="105"/>
      <c r="C964" s="111"/>
      <c r="D964" s="70"/>
      <c r="E964" s="62"/>
      <c r="F964" s="68"/>
      <c r="G964" s="68"/>
      <c r="H964" s="109"/>
    </row>
    <row r="965" spans="1:8" hidden="1" x14ac:dyDescent="0.3">
      <c r="A965" s="103"/>
      <c r="B965" s="105"/>
      <c r="C965" s="111"/>
      <c r="D965" s="70"/>
      <c r="E965" s="62"/>
      <c r="F965" s="68"/>
      <c r="G965" s="68"/>
      <c r="H965" s="109"/>
    </row>
    <row r="966" spans="1:8" hidden="1" x14ac:dyDescent="0.3">
      <c r="A966" s="103"/>
      <c r="B966" s="105"/>
      <c r="C966" s="111"/>
      <c r="D966" s="70"/>
      <c r="E966" s="62"/>
      <c r="F966" s="68"/>
      <c r="G966" s="68"/>
      <c r="H966" s="109"/>
    </row>
    <row r="967" spans="1:8" hidden="1" x14ac:dyDescent="0.3">
      <c r="A967" s="103"/>
      <c r="B967" s="105"/>
      <c r="C967" s="111"/>
      <c r="D967" s="70"/>
      <c r="E967" s="62"/>
      <c r="F967" s="68"/>
      <c r="G967" s="68"/>
      <c r="H967" s="109"/>
    </row>
    <row r="968" spans="1:8" hidden="1" x14ac:dyDescent="0.3">
      <c r="A968" s="103"/>
      <c r="B968" s="105"/>
      <c r="C968" s="111"/>
      <c r="D968" s="70"/>
      <c r="E968" s="62"/>
      <c r="F968" s="68"/>
      <c r="G968" s="68"/>
      <c r="H968" s="109"/>
    </row>
    <row r="969" spans="1:8" hidden="1" x14ac:dyDescent="0.3">
      <c r="A969" s="103"/>
      <c r="B969" s="105"/>
      <c r="C969" s="111"/>
      <c r="D969" s="70"/>
      <c r="E969" s="62"/>
      <c r="F969" s="68"/>
      <c r="G969" s="68"/>
      <c r="H969" s="109"/>
    </row>
    <row r="970" spans="1:8" hidden="1" x14ac:dyDescent="0.3">
      <c r="A970" s="103"/>
      <c r="B970" s="105"/>
      <c r="C970" s="111"/>
      <c r="D970" s="70"/>
      <c r="E970" s="62"/>
      <c r="F970" s="68"/>
      <c r="G970" s="68"/>
      <c r="H970" s="109"/>
    </row>
    <row r="971" spans="1:8" hidden="1" x14ac:dyDescent="0.3">
      <c r="A971" s="103"/>
      <c r="B971" s="105"/>
      <c r="C971" s="111"/>
      <c r="D971" s="70"/>
      <c r="E971" s="62"/>
      <c r="F971" s="68"/>
      <c r="G971" s="68"/>
      <c r="H971" s="109"/>
    </row>
    <row r="972" spans="1:8" hidden="1" x14ac:dyDescent="0.3">
      <c r="A972" s="103"/>
      <c r="B972" s="105"/>
      <c r="C972" s="111"/>
      <c r="D972" s="70"/>
      <c r="E972" s="62"/>
      <c r="F972" s="68"/>
      <c r="G972" s="68"/>
      <c r="H972" s="109"/>
    </row>
    <row r="973" spans="1:8" hidden="1" x14ac:dyDescent="0.3">
      <c r="A973" s="103"/>
      <c r="B973" s="105"/>
      <c r="C973" s="111"/>
      <c r="D973" s="70"/>
      <c r="E973" s="62"/>
      <c r="F973" s="68"/>
      <c r="G973" s="68"/>
      <c r="H973" s="109"/>
    </row>
    <row r="974" spans="1:8" hidden="1" x14ac:dyDescent="0.3">
      <c r="A974" s="103"/>
      <c r="B974" s="105"/>
      <c r="C974" s="111"/>
      <c r="D974" s="70"/>
      <c r="E974" s="62"/>
      <c r="F974" s="68"/>
      <c r="G974" s="68"/>
      <c r="H974" s="109"/>
    </row>
    <row r="975" spans="1:8" hidden="1" x14ac:dyDescent="0.3">
      <c r="A975" s="103"/>
      <c r="B975" s="105"/>
      <c r="C975" s="111"/>
      <c r="D975" s="70"/>
      <c r="E975" s="62"/>
      <c r="F975" s="68"/>
      <c r="G975" s="68"/>
      <c r="H975" s="109"/>
    </row>
    <row r="976" spans="1:8" hidden="1" x14ac:dyDescent="0.3">
      <c r="A976" s="103"/>
      <c r="B976" s="105"/>
      <c r="C976" s="111"/>
      <c r="D976" s="70"/>
      <c r="E976" s="62"/>
      <c r="F976" s="68"/>
      <c r="G976" s="68"/>
      <c r="H976" s="109"/>
    </row>
    <row r="977" spans="1:8" hidden="1" x14ac:dyDescent="0.3">
      <c r="A977" s="103"/>
      <c r="B977" s="105"/>
      <c r="C977" s="111"/>
      <c r="D977" s="70"/>
      <c r="E977" s="62"/>
      <c r="F977" s="68"/>
      <c r="G977" s="68"/>
      <c r="H977" s="109"/>
    </row>
    <row r="978" spans="1:8" hidden="1" x14ac:dyDescent="0.3">
      <c r="A978" s="103"/>
      <c r="B978" s="105"/>
      <c r="C978" s="111"/>
      <c r="D978" s="70"/>
      <c r="E978" s="62"/>
      <c r="F978" s="68"/>
      <c r="G978" s="68"/>
      <c r="H978" s="109"/>
    </row>
    <row r="979" spans="1:8" hidden="1" x14ac:dyDescent="0.3">
      <c r="A979" s="103"/>
      <c r="B979" s="105"/>
      <c r="C979" s="111"/>
      <c r="D979" s="70"/>
      <c r="E979" s="62"/>
      <c r="F979" s="68"/>
      <c r="G979" s="68"/>
      <c r="H979" s="109"/>
    </row>
    <row r="980" spans="1:8" hidden="1" x14ac:dyDescent="0.3">
      <c r="A980" s="103"/>
      <c r="B980" s="105"/>
      <c r="C980" s="111"/>
      <c r="D980" s="70"/>
      <c r="E980" s="62"/>
      <c r="F980" s="68"/>
      <c r="G980" s="68"/>
      <c r="H980" s="109"/>
    </row>
    <row r="981" spans="1:8" hidden="1" x14ac:dyDescent="0.3">
      <c r="A981" s="103"/>
      <c r="B981" s="105"/>
      <c r="C981" s="111"/>
      <c r="D981" s="70"/>
      <c r="E981" s="62"/>
      <c r="F981" s="68"/>
      <c r="G981" s="68"/>
      <c r="H981" s="109"/>
    </row>
    <row r="982" spans="1:8" hidden="1" x14ac:dyDescent="0.3">
      <c r="A982" s="103"/>
      <c r="B982" s="105"/>
      <c r="C982" s="111"/>
      <c r="D982" s="70"/>
      <c r="E982" s="62"/>
      <c r="F982" s="68"/>
      <c r="G982" s="68"/>
      <c r="H982" s="109"/>
    </row>
    <row r="983" spans="1:8" hidden="1" x14ac:dyDescent="0.3">
      <c r="A983" s="103"/>
      <c r="B983" s="105"/>
      <c r="C983" s="111"/>
      <c r="D983" s="70"/>
      <c r="E983" s="62"/>
      <c r="F983" s="68"/>
      <c r="G983" s="68"/>
      <c r="H983" s="109"/>
    </row>
    <row r="984" spans="1:8" hidden="1" x14ac:dyDescent="0.3">
      <c r="A984" s="103"/>
      <c r="B984" s="105"/>
      <c r="C984" s="111"/>
      <c r="D984" s="70"/>
      <c r="E984" s="62"/>
      <c r="F984" s="68"/>
      <c r="G984" s="68"/>
      <c r="H984" s="109"/>
    </row>
    <row r="985" spans="1:8" hidden="1" x14ac:dyDescent="0.3">
      <c r="A985" s="103"/>
      <c r="B985" s="105"/>
      <c r="C985" s="111"/>
      <c r="D985" s="70"/>
      <c r="E985" s="62"/>
      <c r="F985" s="68"/>
      <c r="G985" s="68"/>
      <c r="H985" s="109"/>
    </row>
    <row r="986" spans="1:8" hidden="1" x14ac:dyDescent="0.3">
      <c r="A986" s="103"/>
      <c r="B986" s="105"/>
      <c r="C986" s="111"/>
      <c r="D986" s="70"/>
      <c r="E986" s="62"/>
      <c r="F986" s="68"/>
      <c r="G986" s="68"/>
      <c r="H986" s="109"/>
    </row>
    <row r="987" spans="1:8" hidden="1" x14ac:dyDescent="0.3">
      <c r="A987" s="103"/>
      <c r="B987" s="105"/>
      <c r="C987" s="111"/>
      <c r="D987" s="70"/>
      <c r="E987" s="62"/>
      <c r="F987" s="68"/>
      <c r="G987" s="68"/>
      <c r="H987" s="109"/>
    </row>
    <row r="988" spans="1:8" hidden="1" x14ac:dyDescent="0.3">
      <c r="A988" s="103"/>
      <c r="B988" s="105"/>
      <c r="C988" s="111"/>
      <c r="D988" s="70"/>
      <c r="E988" s="62"/>
      <c r="F988" s="68"/>
      <c r="G988" s="68"/>
      <c r="H988" s="109"/>
    </row>
    <row r="989" spans="1:8" hidden="1" x14ac:dyDescent="0.3">
      <c r="A989" s="103"/>
      <c r="B989" s="105"/>
      <c r="C989" s="111"/>
      <c r="D989" s="70"/>
      <c r="E989" s="62"/>
      <c r="F989" s="68"/>
      <c r="G989" s="68"/>
      <c r="H989" s="109"/>
    </row>
    <row r="990" spans="1:8" hidden="1" x14ac:dyDescent="0.3">
      <c r="A990" s="103"/>
      <c r="B990" s="105"/>
      <c r="C990" s="111"/>
      <c r="D990" s="70"/>
      <c r="E990" s="62"/>
      <c r="F990" s="68"/>
      <c r="G990" s="68"/>
      <c r="H990" s="109"/>
    </row>
    <row r="991" spans="1:8" hidden="1" x14ac:dyDescent="0.3">
      <c r="A991" s="103"/>
      <c r="B991" s="105"/>
      <c r="C991" s="111"/>
      <c r="D991" s="70"/>
      <c r="E991" s="62"/>
      <c r="F991" s="68"/>
      <c r="G991" s="68"/>
      <c r="H991" s="109"/>
    </row>
    <row r="992" spans="1:8" hidden="1" x14ac:dyDescent="0.3">
      <c r="A992" s="103"/>
      <c r="B992" s="105"/>
      <c r="C992" s="111"/>
      <c r="D992" s="70"/>
      <c r="E992" s="62"/>
      <c r="F992" s="68"/>
      <c r="G992" s="68"/>
      <c r="H992" s="109"/>
    </row>
    <row r="993" spans="1:8" hidden="1" x14ac:dyDescent="0.3">
      <c r="A993" s="103"/>
      <c r="B993" s="105"/>
      <c r="C993" s="111"/>
      <c r="D993" s="70"/>
      <c r="E993" s="62"/>
      <c r="F993" s="68"/>
      <c r="G993" s="68"/>
      <c r="H993" s="109"/>
    </row>
    <row r="994" spans="1:8" hidden="1" x14ac:dyDescent="0.3">
      <c r="A994" s="103"/>
      <c r="B994" s="105"/>
      <c r="C994" s="111"/>
      <c r="D994" s="70"/>
      <c r="E994" s="62"/>
      <c r="F994" s="68"/>
      <c r="G994" s="68"/>
      <c r="H994" s="109"/>
    </row>
    <row r="995" spans="1:8" hidden="1" x14ac:dyDescent="0.3">
      <c r="A995" s="103"/>
      <c r="B995" s="105"/>
      <c r="C995" s="111"/>
      <c r="D995" s="70"/>
      <c r="E995" s="62"/>
      <c r="F995" s="68"/>
      <c r="G995" s="68"/>
      <c r="H995" s="109"/>
    </row>
    <row r="996" spans="1:8" hidden="1" x14ac:dyDescent="0.3">
      <c r="A996" s="103"/>
      <c r="B996" s="105"/>
      <c r="C996" s="111"/>
      <c r="D996" s="70"/>
      <c r="E996" s="62"/>
      <c r="F996" s="68"/>
      <c r="G996" s="68"/>
      <c r="H996" s="109"/>
    </row>
    <row r="997" spans="1:8" hidden="1" x14ac:dyDescent="0.3">
      <c r="A997" s="103"/>
      <c r="B997" s="105"/>
      <c r="C997" s="111"/>
      <c r="D997" s="70"/>
      <c r="E997" s="62"/>
      <c r="F997" s="68"/>
      <c r="G997" s="68"/>
      <c r="H997" s="109"/>
    </row>
    <row r="998" spans="1:8" hidden="1" x14ac:dyDescent="0.3">
      <c r="A998" s="103"/>
      <c r="B998" s="105"/>
      <c r="C998" s="111"/>
      <c r="D998" s="70"/>
      <c r="E998" s="62"/>
      <c r="F998" s="68"/>
      <c r="G998" s="68"/>
      <c r="H998" s="109"/>
    </row>
    <row r="999" spans="1:8" hidden="1" x14ac:dyDescent="0.3">
      <c r="A999" s="103"/>
      <c r="B999" s="105"/>
      <c r="C999" s="111"/>
      <c r="D999" s="70"/>
      <c r="E999" s="62"/>
      <c r="F999" s="68"/>
      <c r="G999" s="68"/>
      <c r="H999" s="109"/>
    </row>
    <row r="1000" spans="1:8" hidden="1" x14ac:dyDescent="0.3">
      <c r="A1000" s="103"/>
      <c r="B1000" s="105"/>
      <c r="C1000" s="111"/>
      <c r="D1000" s="70"/>
      <c r="E1000" s="62"/>
      <c r="F1000" s="68"/>
      <c r="G1000" s="68"/>
      <c r="H1000" s="109"/>
    </row>
    <row r="1001" spans="1:8" hidden="1" x14ac:dyDescent="0.3">
      <c r="A1001" s="103"/>
      <c r="B1001" s="105"/>
      <c r="C1001" s="111"/>
      <c r="D1001" s="70"/>
      <c r="E1001" s="62"/>
      <c r="F1001" s="68"/>
      <c r="G1001" s="68"/>
      <c r="H1001" s="109"/>
    </row>
    <row r="1002" spans="1:8" hidden="1" x14ac:dyDescent="0.3">
      <c r="A1002" s="103"/>
      <c r="B1002" s="105"/>
      <c r="C1002" s="111"/>
      <c r="D1002" s="70"/>
      <c r="E1002" s="62"/>
      <c r="F1002" s="68"/>
      <c r="G1002" s="68"/>
      <c r="H1002" s="109"/>
    </row>
    <row r="1003" spans="1:8" hidden="1" x14ac:dyDescent="0.3">
      <c r="A1003" s="103"/>
      <c r="B1003" s="105"/>
      <c r="C1003" s="111"/>
      <c r="D1003" s="70"/>
      <c r="E1003" s="62"/>
      <c r="F1003" s="68"/>
      <c r="G1003" s="68"/>
      <c r="H1003" s="109"/>
    </row>
    <row r="1004" spans="1:8" hidden="1" x14ac:dyDescent="0.3">
      <c r="A1004" s="103"/>
      <c r="B1004" s="105"/>
      <c r="C1004" s="111"/>
      <c r="D1004" s="70"/>
      <c r="E1004" s="62"/>
      <c r="F1004" s="68"/>
      <c r="G1004" s="68"/>
      <c r="H1004" s="109"/>
    </row>
    <row r="1005" spans="1:8" hidden="1" x14ac:dyDescent="0.3">
      <c r="A1005" s="103"/>
      <c r="B1005" s="105"/>
      <c r="C1005" s="111"/>
      <c r="D1005" s="70"/>
      <c r="E1005" s="62"/>
      <c r="F1005" s="68"/>
      <c r="G1005" s="68"/>
      <c r="H1005" s="109"/>
    </row>
    <row r="1006" spans="1:8" hidden="1" x14ac:dyDescent="0.3">
      <c r="A1006" s="103"/>
      <c r="B1006" s="105"/>
      <c r="C1006" s="111"/>
      <c r="D1006" s="70"/>
      <c r="E1006" s="62"/>
      <c r="F1006" s="68"/>
      <c r="G1006" s="68"/>
      <c r="H1006" s="109"/>
    </row>
    <row r="1007" spans="1:8" hidden="1" x14ac:dyDescent="0.3">
      <c r="A1007" s="103"/>
      <c r="B1007" s="105"/>
      <c r="C1007" s="111"/>
      <c r="D1007" s="70"/>
      <c r="E1007" s="62"/>
      <c r="F1007" s="68"/>
      <c r="G1007" s="68"/>
      <c r="H1007" s="109"/>
    </row>
    <row r="1008" spans="1:8" hidden="1" x14ac:dyDescent="0.3">
      <c r="A1008" s="103"/>
      <c r="B1008" s="105"/>
      <c r="C1008" s="111"/>
      <c r="D1008" s="70"/>
      <c r="E1008" s="62"/>
      <c r="F1008" s="68"/>
      <c r="G1008" s="68"/>
      <c r="H1008" s="109"/>
    </row>
    <row r="1009" spans="1:8" hidden="1" x14ac:dyDescent="0.3">
      <c r="A1009" s="103"/>
      <c r="B1009" s="105"/>
      <c r="C1009" s="111"/>
      <c r="D1009" s="70"/>
      <c r="E1009" s="62"/>
      <c r="F1009" s="68"/>
      <c r="G1009" s="68"/>
      <c r="H1009" s="109"/>
    </row>
    <row r="1010" spans="1:8" hidden="1" x14ac:dyDescent="0.3">
      <c r="A1010" s="103"/>
      <c r="B1010" s="105"/>
      <c r="C1010" s="111"/>
      <c r="D1010" s="70"/>
      <c r="E1010" s="62"/>
      <c r="F1010" s="68"/>
      <c r="G1010" s="68"/>
      <c r="H1010" s="109"/>
    </row>
    <row r="1011" spans="1:8" hidden="1" x14ac:dyDescent="0.3">
      <c r="A1011" s="103"/>
      <c r="B1011" s="105"/>
      <c r="C1011" s="111"/>
      <c r="D1011" s="70"/>
      <c r="E1011" s="62"/>
      <c r="F1011" s="68"/>
      <c r="G1011" s="68"/>
      <c r="H1011" s="109"/>
    </row>
    <row r="1012" spans="1:8" hidden="1" x14ac:dyDescent="0.3">
      <c r="A1012" s="103"/>
      <c r="B1012" s="105"/>
      <c r="C1012" s="111"/>
      <c r="D1012" s="70"/>
      <c r="E1012" s="62"/>
      <c r="F1012" s="68"/>
      <c r="G1012" s="68"/>
      <c r="H1012" s="109"/>
    </row>
    <row r="1013" spans="1:8" hidden="1" x14ac:dyDescent="0.3">
      <c r="A1013" s="103"/>
      <c r="B1013" s="105"/>
      <c r="C1013" s="111"/>
      <c r="D1013" s="70"/>
      <c r="E1013" s="62"/>
      <c r="F1013" s="68"/>
      <c r="G1013" s="68"/>
      <c r="H1013" s="109"/>
    </row>
    <row r="1014" spans="1:8" hidden="1" x14ac:dyDescent="0.3">
      <c r="A1014" s="103"/>
      <c r="B1014" s="105"/>
      <c r="C1014" s="111"/>
      <c r="D1014" s="70"/>
      <c r="E1014" s="62"/>
      <c r="F1014" s="68"/>
      <c r="G1014" s="68"/>
      <c r="H1014" s="109"/>
    </row>
    <row r="1015" spans="1:8" hidden="1" x14ac:dyDescent="0.3">
      <c r="A1015" s="103"/>
      <c r="B1015" s="105"/>
      <c r="C1015" s="111"/>
      <c r="D1015" s="70"/>
      <c r="E1015" s="62"/>
      <c r="F1015" s="68"/>
      <c r="G1015" s="68"/>
      <c r="H1015" s="109"/>
    </row>
    <row r="1016" spans="1:8" hidden="1" x14ac:dyDescent="0.3">
      <c r="A1016" s="103"/>
      <c r="B1016" s="105"/>
      <c r="C1016" s="111"/>
      <c r="D1016" s="70"/>
      <c r="E1016" s="62"/>
      <c r="F1016" s="68"/>
      <c r="G1016" s="68"/>
      <c r="H1016" s="109"/>
    </row>
    <row r="1017" spans="1:8" hidden="1" x14ac:dyDescent="0.3">
      <c r="A1017" s="103"/>
      <c r="B1017" s="105"/>
      <c r="C1017" s="111"/>
      <c r="D1017" s="70"/>
      <c r="E1017" s="62"/>
      <c r="F1017" s="68"/>
      <c r="G1017" s="68"/>
      <c r="H1017" s="109"/>
    </row>
    <row r="1018" spans="1:8" hidden="1" x14ac:dyDescent="0.3">
      <c r="A1018" s="103"/>
      <c r="B1018" s="105"/>
      <c r="C1018" s="111"/>
      <c r="D1018" s="70"/>
      <c r="E1018" s="62"/>
      <c r="F1018" s="68"/>
      <c r="G1018" s="68"/>
      <c r="H1018" s="109"/>
    </row>
    <row r="1019" spans="1:8" hidden="1" x14ac:dyDescent="0.3">
      <c r="A1019" s="103"/>
      <c r="B1019" s="105"/>
      <c r="C1019" s="111"/>
      <c r="D1019" s="70"/>
      <c r="E1019" s="62"/>
      <c r="F1019" s="68"/>
      <c r="G1019" s="68"/>
      <c r="H1019" s="109"/>
    </row>
    <row r="1020" spans="1:8" hidden="1" x14ac:dyDescent="0.3">
      <c r="A1020" s="103"/>
      <c r="B1020" s="105"/>
      <c r="C1020" s="111"/>
      <c r="D1020" s="70"/>
      <c r="E1020" s="62"/>
      <c r="F1020" s="68"/>
      <c r="G1020" s="68"/>
      <c r="H1020" s="109"/>
    </row>
    <row r="1021" spans="1:8" hidden="1" x14ac:dyDescent="0.3">
      <c r="A1021" s="103"/>
      <c r="B1021" s="105"/>
      <c r="C1021" s="111"/>
      <c r="D1021" s="70"/>
      <c r="E1021" s="62"/>
      <c r="F1021" s="68"/>
      <c r="G1021" s="68"/>
      <c r="H1021" s="109"/>
    </row>
    <row r="1022" spans="1:8" hidden="1" x14ac:dyDescent="0.3">
      <c r="A1022" s="103"/>
      <c r="B1022" s="105"/>
      <c r="C1022" s="111"/>
      <c r="D1022" s="70"/>
      <c r="E1022" s="62"/>
      <c r="F1022" s="68"/>
      <c r="G1022" s="68"/>
      <c r="H1022" s="109"/>
    </row>
    <row r="1023" spans="1:8" hidden="1" x14ac:dyDescent="0.3">
      <c r="A1023" s="103"/>
      <c r="B1023" s="105"/>
      <c r="C1023" s="111"/>
      <c r="D1023" s="70"/>
      <c r="E1023" s="62"/>
      <c r="F1023" s="68"/>
      <c r="G1023" s="68"/>
      <c r="H1023" s="109"/>
    </row>
    <row r="1024" spans="1:8" hidden="1" x14ac:dyDescent="0.3">
      <c r="A1024" s="103"/>
      <c r="B1024" s="105"/>
      <c r="C1024" s="111"/>
      <c r="D1024" s="70"/>
      <c r="E1024" s="62"/>
      <c r="F1024" s="68"/>
      <c r="G1024" s="68"/>
      <c r="H1024" s="109"/>
    </row>
    <row r="1025" spans="1:8" hidden="1" x14ac:dyDescent="0.3">
      <c r="A1025" s="103"/>
      <c r="B1025" s="105"/>
      <c r="C1025" s="111"/>
      <c r="D1025" s="70"/>
      <c r="E1025" s="62"/>
      <c r="F1025" s="68"/>
      <c r="G1025" s="68"/>
      <c r="H1025" s="109"/>
    </row>
    <row r="1026" spans="1:8" hidden="1" x14ac:dyDescent="0.3">
      <c r="A1026" s="103"/>
      <c r="B1026" s="105"/>
      <c r="C1026" s="111"/>
      <c r="D1026" s="70"/>
      <c r="E1026" s="62"/>
      <c r="F1026" s="68"/>
      <c r="G1026" s="68"/>
      <c r="H1026" s="109"/>
    </row>
    <row r="1027" spans="1:8" hidden="1" x14ac:dyDescent="0.3">
      <c r="A1027" s="103"/>
      <c r="B1027" s="105"/>
      <c r="C1027" s="111"/>
      <c r="D1027" s="70"/>
      <c r="E1027" s="62"/>
      <c r="F1027" s="68"/>
      <c r="G1027" s="68"/>
      <c r="H1027" s="109"/>
    </row>
    <row r="1028" spans="1:8" hidden="1" x14ac:dyDescent="0.3">
      <c r="A1028" s="103"/>
      <c r="B1028" s="105"/>
      <c r="C1028" s="111"/>
      <c r="D1028" s="70"/>
      <c r="E1028" s="62"/>
      <c r="F1028" s="68"/>
      <c r="G1028" s="68"/>
      <c r="H1028" s="109"/>
    </row>
    <row r="1029" spans="1:8" hidden="1" x14ac:dyDescent="0.3">
      <c r="A1029" s="103"/>
      <c r="B1029" s="105"/>
      <c r="C1029" s="111"/>
      <c r="D1029" s="70"/>
      <c r="E1029" s="62"/>
      <c r="F1029" s="68"/>
      <c r="G1029" s="68"/>
      <c r="H1029" s="109"/>
    </row>
    <row r="1030" spans="1:8" hidden="1" x14ac:dyDescent="0.3">
      <c r="A1030" s="103"/>
      <c r="B1030" s="105"/>
      <c r="C1030" s="111"/>
      <c r="D1030" s="70"/>
      <c r="E1030" s="62"/>
      <c r="F1030" s="68"/>
      <c r="G1030" s="68"/>
      <c r="H1030" s="109"/>
    </row>
    <row r="1031" spans="1:8" hidden="1" x14ac:dyDescent="0.3">
      <c r="A1031" s="103"/>
      <c r="B1031" s="105"/>
      <c r="C1031" s="111"/>
      <c r="D1031" s="70"/>
      <c r="E1031" s="62"/>
      <c r="F1031" s="68"/>
      <c r="G1031" s="68"/>
      <c r="H1031" s="109"/>
    </row>
    <row r="1032" spans="1:8" hidden="1" x14ac:dyDescent="0.3">
      <c r="A1032" s="103"/>
      <c r="B1032" s="105"/>
      <c r="C1032" s="111"/>
      <c r="D1032" s="70"/>
      <c r="E1032" s="62"/>
      <c r="F1032" s="68"/>
      <c r="G1032" s="68"/>
      <c r="H1032" s="109"/>
    </row>
    <row r="1033" spans="1:8" hidden="1" x14ac:dyDescent="0.3">
      <c r="A1033" s="103"/>
      <c r="B1033" s="105"/>
      <c r="C1033" s="111"/>
      <c r="D1033" s="70"/>
      <c r="E1033" s="62"/>
      <c r="F1033" s="68"/>
      <c r="G1033" s="68"/>
      <c r="H1033" s="109"/>
    </row>
    <row r="1034" spans="1:8" hidden="1" x14ac:dyDescent="0.3">
      <c r="A1034" s="103"/>
      <c r="B1034" s="105"/>
      <c r="C1034" s="111"/>
      <c r="D1034" s="70"/>
      <c r="E1034" s="62"/>
      <c r="F1034" s="68"/>
      <c r="G1034" s="68"/>
      <c r="H1034" s="109"/>
    </row>
    <row r="1035" spans="1:8" hidden="1" x14ac:dyDescent="0.3">
      <c r="A1035" s="103"/>
      <c r="B1035" s="105"/>
      <c r="C1035" s="111"/>
      <c r="D1035" s="70"/>
      <c r="E1035" s="62"/>
      <c r="F1035" s="68"/>
      <c r="G1035" s="68"/>
      <c r="H1035" s="109"/>
    </row>
    <row r="1036" spans="1:8" hidden="1" x14ac:dyDescent="0.3">
      <c r="A1036" s="103"/>
      <c r="B1036" s="105"/>
      <c r="C1036" s="111"/>
      <c r="D1036" s="70"/>
      <c r="E1036" s="62"/>
      <c r="F1036" s="68"/>
      <c r="G1036" s="68"/>
      <c r="H1036" s="109"/>
    </row>
    <row r="1037" spans="1:8" hidden="1" x14ac:dyDescent="0.3">
      <c r="A1037" s="103"/>
      <c r="B1037" s="105"/>
      <c r="C1037" s="111"/>
      <c r="D1037" s="70"/>
      <c r="E1037" s="62"/>
      <c r="F1037" s="68"/>
      <c r="G1037" s="68"/>
      <c r="H1037" s="109"/>
    </row>
    <row r="1038" spans="1:8" hidden="1" x14ac:dyDescent="0.3">
      <c r="A1038" s="103"/>
      <c r="B1038" s="105"/>
      <c r="C1038" s="111"/>
      <c r="D1038" s="70"/>
      <c r="E1038" s="62"/>
      <c r="F1038" s="68"/>
      <c r="G1038" s="68"/>
      <c r="H1038" s="109"/>
    </row>
    <row r="1039" spans="1:8" hidden="1" x14ac:dyDescent="0.3">
      <c r="A1039" s="103"/>
      <c r="B1039" s="105"/>
      <c r="C1039" s="111"/>
      <c r="D1039" s="70"/>
      <c r="E1039" s="62"/>
      <c r="F1039" s="68"/>
      <c r="G1039" s="68"/>
      <c r="H1039" s="109"/>
    </row>
    <row r="1040" spans="1:8" hidden="1" x14ac:dyDescent="0.3">
      <c r="A1040" s="103"/>
      <c r="B1040" s="105"/>
      <c r="C1040" s="111"/>
      <c r="D1040" s="70"/>
      <c r="E1040" s="62"/>
      <c r="F1040" s="68"/>
      <c r="G1040" s="68"/>
      <c r="H1040" s="109"/>
    </row>
    <row r="1041" spans="1:8" hidden="1" x14ac:dyDescent="0.3">
      <c r="A1041" s="103"/>
      <c r="B1041" s="105"/>
      <c r="C1041" s="111"/>
      <c r="D1041" s="70"/>
      <c r="E1041" s="62"/>
      <c r="F1041" s="68"/>
      <c r="G1041" s="68"/>
      <c r="H1041" s="109"/>
    </row>
    <row r="1042" spans="1:8" hidden="1" x14ac:dyDescent="0.3">
      <c r="A1042" s="103"/>
      <c r="B1042" s="105"/>
      <c r="C1042" s="111"/>
      <c r="D1042" s="70"/>
      <c r="E1042" s="62"/>
      <c r="F1042" s="68"/>
      <c r="G1042" s="68"/>
      <c r="H1042" s="109"/>
    </row>
    <row r="1043" spans="1:8" hidden="1" x14ac:dyDescent="0.3">
      <c r="A1043" s="103"/>
      <c r="B1043" s="105"/>
      <c r="C1043" s="111"/>
      <c r="D1043" s="70"/>
      <c r="E1043" s="62"/>
      <c r="F1043" s="68"/>
      <c r="G1043" s="68"/>
      <c r="H1043" s="109"/>
    </row>
    <row r="1044" spans="1:8" hidden="1" x14ac:dyDescent="0.3">
      <c r="A1044" s="103"/>
      <c r="B1044" s="105"/>
      <c r="C1044" s="111"/>
      <c r="D1044" s="70"/>
      <c r="E1044" s="62"/>
      <c r="F1044" s="68"/>
      <c r="G1044" s="68"/>
      <c r="H1044" s="109"/>
    </row>
    <row r="1045" spans="1:8" hidden="1" x14ac:dyDescent="0.3">
      <c r="A1045" s="103"/>
      <c r="B1045" s="105"/>
      <c r="C1045" s="111"/>
      <c r="D1045" s="70"/>
      <c r="E1045" s="62"/>
      <c r="F1045" s="68"/>
      <c r="G1045" s="68"/>
      <c r="H1045" s="109"/>
    </row>
    <row r="1046" spans="1:8" hidden="1" x14ac:dyDescent="0.3">
      <c r="A1046" s="103"/>
      <c r="B1046" s="105"/>
      <c r="C1046" s="111"/>
      <c r="D1046" s="70"/>
      <c r="E1046" s="62"/>
      <c r="F1046" s="68"/>
      <c r="G1046" s="68"/>
      <c r="H1046" s="109"/>
    </row>
    <row r="1047" spans="1:8" hidden="1" x14ac:dyDescent="0.3">
      <c r="A1047" s="103"/>
      <c r="B1047" s="105"/>
      <c r="C1047" s="111"/>
      <c r="D1047" s="70"/>
      <c r="E1047" s="62"/>
      <c r="F1047" s="68"/>
      <c r="G1047" s="68"/>
      <c r="H1047" s="109"/>
    </row>
    <row r="1048" spans="1:8" hidden="1" x14ac:dyDescent="0.3">
      <c r="A1048" s="103"/>
      <c r="B1048" s="105"/>
      <c r="C1048" s="111"/>
      <c r="D1048" s="70"/>
      <c r="E1048" s="62"/>
      <c r="F1048" s="68"/>
      <c r="G1048" s="68"/>
      <c r="H1048" s="109"/>
    </row>
    <row r="1049" spans="1:8" hidden="1" x14ac:dyDescent="0.3">
      <c r="A1049" s="103"/>
      <c r="B1049" s="105"/>
      <c r="C1049" s="111"/>
      <c r="D1049" s="70"/>
      <c r="E1049" s="62"/>
      <c r="F1049" s="68"/>
      <c r="G1049" s="68"/>
      <c r="H1049" s="109"/>
    </row>
    <row r="1050" spans="1:8" hidden="1" x14ac:dyDescent="0.3">
      <c r="A1050" s="103"/>
      <c r="B1050" s="105"/>
      <c r="C1050" s="111"/>
      <c r="D1050" s="70"/>
      <c r="E1050" s="62"/>
      <c r="F1050" s="68"/>
      <c r="G1050" s="68"/>
      <c r="H1050" s="109"/>
    </row>
    <row r="1051" spans="1:8" hidden="1" x14ac:dyDescent="0.3">
      <c r="A1051" s="103"/>
      <c r="B1051" s="105"/>
      <c r="C1051" s="111"/>
      <c r="D1051" s="70"/>
      <c r="E1051" s="62"/>
      <c r="F1051" s="68"/>
      <c r="G1051" s="68"/>
      <c r="H1051" s="109"/>
    </row>
    <row r="1052" spans="1:8" hidden="1" x14ac:dyDescent="0.3">
      <c r="A1052" s="103"/>
      <c r="B1052" s="105"/>
      <c r="C1052" s="111"/>
      <c r="D1052" s="70"/>
      <c r="E1052" s="62"/>
      <c r="F1052" s="68"/>
      <c r="G1052" s="68"/>
      <c r="H1052" s="109"/>
    </row>
    <row r="1053" spans="1:8" hidden="1" x14ac:dyDescent="0.3">
      <c r="A1053" s="103"/>
      <c r="B1053" s="105"/>
      <c r="C1053" s="111"/>
      <c r="D1053" s="70"/>
      <c r="E1053" s="62"/>
      <c r="F1053" s="68"/>
      <c r="G1053" s="68"/>
      <c r="H1053" s="109"/>
    </row>
    <row r="1054" spans="1:8" hidden="1" x14ac:dyDescent="0.3">
      <c r="A1054" s="103"/>
      <c r="B1054" s="105"/>
      <c r="C1054" s="111"/>
      <c r="D1054" s="70"/>
      <c r="E1054" s="62"/>
      <c r="F1054" s="68"/>
      <c r="G1054" s="68"/>
      <c r="H1054" s="109"/>
    </row>
    <row r="1055" spans="1:8" hidden="1" x14ac:dyDescent="0.3">
      <c r="A1055" s="103"/>
      <c r="B1055" s="105"/>
      <c r="C1055" s="111"/>
      <c r="D1055" s="70"/>
      <c r="E1055" s="62"/>
      <c r="F1055" s="68"/>
      <c r="G1055" s="68"/>
      <c r="H1055" s="109"/>
    </row>
    <row r="1056" spans="1:8" hidden="1" x14ac:dyDescent="0.3">
      <c r="A1056" s="103"/>
      <c r="B1056" s="105"/>
      <c r="C1056" s="111"/>
      <c r="D1056" s="70"/>
      <c r="E1056" s="62"/>
      <c r="F1056" s="68"/>
      <c r="G1056" s="68"/>
      <c r="H1056" s="109"/>
    </row>
    <row r="1057" spans="1:8" hidden="1" x14ac:dyDescent="0.3">
      <c r="A1057" s="103"/>
      <c r="B1057" s="105"/>
      <c r="C1057" s="111"/>
      <c r="D1057" s="70"/>
      <c r="E1057" s="62"/>
      <c r="F1057" s="68"/>
      <c r="G1057" s="68"/>
      <c r="H1057" s="109"/>
    </row>
    <row r="1058" spans="1:8" hidden="1" x14ac:dyDescent="0.3">
      <c r="A1058" s="103"/>
      <c r="B1058" s="105"/>
      <c r="C1058" s="111"/>
      <c r="D1058" s="70"/>
      <c r="E1058" s="62"/>
      <c r="F1058" s="68"/>
      <c r="G1058" s="68"/>
      <c r="H1058" s="109"/>
    </row>
    <row r="1059" spans="1:8" hidden="1" x14ac:dyDescent="0.3">
      <c r="A1059" s="103"/>
      <c r="B1059" s="105"/>
      <c r="C1059" s="111"/>
      <c r="D1059" s="70"/>
      <c r="E1059" s="62"/>
      <c r="F1059" s="68"/>
      <c r="G1059" s="68"/>
      <c r="H1059" s="109"/>
    </row>
    <row r="1060" spans="1:8" hidden="1" x14ac:dyDescent="0.3">
      <c r="A1060" s="103"/>
      <c r="B1060" s="105"/>
      <c r="C1060" s="111"/>
      <c r="D1060" s="70"/>
      <c r="E1060" s="62"/>
      <c r="F1060" s="68"/>
      <c r="G1060" s="68"/>
      <c r="H1060" s="109"/>
    </row>
    <row r="1061" spans="1:8" hidden="1" x14ac:dyDescent="0.3">
      <c r="A1061" s="103"/>
      <c r="B1061" s="105"/>
      <c r="C1061" s="111"/>
      <c r="D1061" s="70"/>
      <c r="E1061" s="62"/>
      <c r="F1061" s="68"/>
      <c r="G1061" s="68"/>
      <c r="H1061" s="109"/>
    </row>
    <row r="1062" spans="1:8" hidden="1" x14ac:dyDescent="0.3">
      <c r="A1062" s="103"/>
      <c r="B1062" s="105"/>
      <c r="C1062" s="111"/>
      <c r="D1062" s="70"/>
      <c r="E1062" s="62"/>
      <c r="F1062" s="68"/>
      <c r="G1062" s="68"/>
      <c r="H1062" s="109"/>
    </row>
    <row r="1063" spans="1:8" hidden="1" x14ac:dyDescent="0.3">
      <c r="A1063" s="103"/>
      <c r="B1063" s="105"/>
      <c r="C1063" s="111"/>
      <c r="D1063" s="70"/>
      <c r="E1063" s="62"/>
      <c r="F1063" s="68"/>
      <c r="G1063" s="68"/>
      <c r="H1063" s="109"/>
    </row>
    <row r="1064" spans="1:8" hidden="1" x14ac:dyDescent="0.3">
      <c r="A1064" s="103"/>
      <c r="B1064" s="105"/>
      <c r="C1064" s="111"/>
      <c r="D1064" s="70"/>
      <c r="E1064" s="62"/>
      <c r="F1064" s="68"/>
      <c r="G1064" s="68"/>
      <c r="H1064" s="109"/>
    </row>
    <row r="1065" spans="1:8" hidden="1" x14ac:dyDescent="0.3">
      <c r="A1065" s="103"/>
      <c r="B1065" s="105"/>
      <c r="C1065" s="111"/>
      <c r="D1065" s="70"/>
      <c r="E1065" s="62"/>
      <c r="F1065" s="68"/>
      <c r="G1065" s="68"/>
      <c r="H1065" s="109"/>
    </row>
    <row r="1066" spans="1:8" hidden="1" x14ac:dyDescent="0.3">
      <c r="A1066" s="103"/>
      <c r="B1066" s="105"/>
      <c r="C1066" s="111"/>
      <c r="D1066" s="70"/>
      <c r="E1066" s="62"/>
      <c r="F1066" s="68"/>
      <c r="G1066" s="68"/>
      <c r="H1066" s="109"/>
    </row>
    <row r="1067" spans="1:8" hidden="1" x14ac:dyDescent="0.3">
      <c r="A1067" s="103"/>
      <c r="B1067" s="105"/>
      <c r="C1067" s="111"/>
      <c r="D1067" s="70"/>
      <c r="E1067" s="62"/>
      <c r="F1067" s="68"/>
      <c r="G1067" s="68"/>
      <c r="H1067" s="109"/>
    </row>
    <row r="1068" spans="1:8" hidden="1" x14ac:dyDescent="0.3">
      <c r="A1068" s="103"/>
      <c r="B1068" s="105"/>
      <c r="C1068" s="111"/>
      <c r="D1068" s="70"/>
      <c r="E1068" s="62"/>
      <c r="F1068" s="68"/>
      <c r="G1068" s="68"/>
      <c r="H1068" s="109"/>
    </row>
    <row r="1069" spans="1:8" hidden="1" x14ac:dyDescent="0.3">
      <c r="A1069" s="103"/>
      <c r="B1069" s="105"/>
      <c r="C1069" s="111"/>
      <c r="D1069" s="70"/>
      <c r="E1069" s="62"/>
      <c r="F1069" s="68"/>
      <c r="G1069" s="68"/>
      <c r="H1069" s="109"/>
    </row>
    <row r="1070" spans="1:8" hidden="1" x14ac:dyDescent="0.3">
      <c r="A1070" s="103"/>
      <c r="B1070" s="105"/>
      <c r="C1070" s="111"/>
      <c r="D1070" s="70"/>
      <c r="E1070" s="62"/>
      <c r="F1070" s="68"/>
      <c r="G1070" s="68"/>
      <c r="H1070" s="109"/>
    </row>
    <row r="1071" spans="1:8" hidden="1" x14ac:dyDescent="0.3">
      <c r="A1071" s="103"/>
      <c r="B1071" s="105"/>
      <c r="C1071" s="111"/>
      <c r="D1071" s="70"/>
      <c r="E1071" s="62"/>
      <c r="F1071" s="68"/>
      <c r="G1071" s="68"/>
      <c r="H1071" s="109"/>
    </row>
    <row r="1072" spans="1:8" hidden="1" x14ac:dyDescent="0.3">
      <c r="A1072" s="103"/>
      <c r="B1072" s="105"/>
      <c r="C1072" s="111"/>
      <c r="D1072" s="70"/>
      <c r="E1072" s="62"/>
      <c r="F1072" s="68"/>
      <c r="G1072" s="68"/>
      <c r="H1072" s="109"/>
    </row>
    <row r="1073" spans="1:8" hidden="1" x14ac:dyDescent="0.3">
      <c r="A1073" s="103"/>
      <c r="B1073" s="105"/>
      <c r="C1073" s="111"/>
      <c r="D1073" s="70"/>
      <c r="E1073" s="62"/>
      <c r="F1073" s="68"/>
      <c r="G1073" s="68"/>
      <c r="H1073" s="109"/>
    </row>
    <row r="1074" spans="1:8" hidden="1" x14ac:dyDescent="0.3">
      <c r="A1074" s="103"/>
      <c r="B1074" s="105"/>
      <c r="C1074" s="111"/>
      <c r="D1074" s="70"/>
      <c r="E1074" s="62"/>
      <c r="F1074" s="68"/>
      <c r="G1074" s="68"/>
      <c r="H1074" s="109"/>
    </row>
    <row r="1075" spans="1:8" hidden="1" x14ac:dyDescent="0.3">
      <c r="A1075" s="103"/>
      <c r="B1075" s="105"/>
      <c r="C1075" s="111"/>
      <c r="D1075" s="70"/>
      <c r="E1075" s="62"/>
      <c r="F1075" s="68"/>
      <c r="G1075" s="68"/>
      <c r="H1075" s="109"/>
    </row>
    <row r="1076" spans="1:8" hidden="1" x14ac:dyDescent="0.3">
      <c r="A1076" s="103"/>
      <c r="B1076" s="105"/>
      <c r="C1076" s="111"/>
      <c r="D1076" s="70"/>
      <c r="E1076" s="62"/>
      <c r="F1076" s="68"/>
      <c r="G1076" s="68"/>
      <c r="H1076" s="109"/>
    </row>
    <row r="1077" spans="1:8" hidden="1" x14ac:dyDescent="0.3">
      <c r="A1077" s="103"/>
      <c r="B1077" s="105"/>
      <c r="C1077" s="111"/>
      <c r="D1077" s="70"/>
      <c r="E1077" s="62"/>
      <c r="F1077" s="68"/>
      <c r="G1077" s="68"/>
      <c r="H1077" s="109"/>
    </row>
    <row r="1078" spans="1:8" hidden="1" x14ac:dyDescent="0.3">
      <c r="A1078" s="103"/>
      <c r="B1078" s="105"/>
      <c r="C1078" s="111"/>
      <c r="D1078" s="70"/>
      <c r="E1078" s="62"/>
      <c r="F1078" s="68"/>
      <c r="G1078" s="68"/>
      <c r="H1078" s="109"/>
    </row>
    <row r="1079" spans="1:8" hidden="1" x14ac:dyDescent="0.3">
      <c r="A1079" s="103"/>
      <c r="B1079" s="105"/>
      <c r="C1079" s="111"/>
      <c r="D1079" s="70"/>
      <c r="E1079" s="62"/>
      <c r="F1079" s="68"/>
      <c r="G1079" s="68"/>
      <c r="H1079" s="109"/>
    </row>
    <row r="1080" spans="1:8" hidden="1" x14ac:dyDescent="0.3">
      <c r="A1080" s="103"/>
      <c r="B1080" s="105"/>
      <c r="C1080" s="111"/>
      <c r="D1080" s="70"/>
      <c r="E1080" s="62"/>
      <c r="F1080" s="68"/>
      <c r="G1080" s="68"/>
      <c r="H1080" s="109"/>
    </row>
    <row r="1081" spans="1:8" hidden="1" x14ac:dyDescent="0.3">
      <c r="A1081" s="103"/>
      <c r="B1081" s="105"/>
      <c r="C1081" s="111"/>
      <c r="D1081" s="70"/>
      <c r="E1081" s="62"/>
      <c r="F1081" s="68"/>
      <c r="G1081" s="68"/>
      <c r="H1081" s="109"/>
    </row>
    <row r="1082" spans="1:8" hidden="1" x14ac:dyDescent="0.3">
      <c r="A1082" s="103"/>
      <c r="B1082" s="105"/>
      <c r="C1082" s="111"/>
      <c r="D1082" s="70"/>
      <c r="E1082" s="62"/>
      <c r="F1082" s="68"/>
      <c r="G1082" s="68"/>
      <c r="H1082" s="109"/>
    </row>
    <row r="1083" spans="1:8" hidden="1" x14ac:dyDescent="0.3">
      <c r="A1083" s="103"/>
      <c r="B1083" s="105"/>
      <c r="C1083" s="111"/>
      <c r="D1083" s="70"/>
      <c r="E1083" s="62"/>
      <c r="F1083" s="68"/>
      <c r="G1083" s="68"/>
      <c r="H1083" s="109"/>
    </row>
    <row r="1084" spans="1:8" hidden="1" x14ac:dyDescent="0.3">
      <c r="A1084" s="103"/>
      <c r="B1084" s="105"/>
      <c r="C1084" s="111"/>
      <c r="D1084" s="70"/>
      <c r="E1084" s="62"/>
      <c r="F1084" s="68"/>
      <c r="G1084" s="68"/>
      <c r="H1084" s="109"/>
    </row>
    <row r="1085" spans="1:8" hidden="1" x14ac:dyDescent="0.3">
      <c r="A1085" s="103"/>
      <c r="B1085" s="105"/>
      <c r="C1085" s="111"/>
      <c r="D1085" s="70"/>
      <c r="E1085" s="62"/>
      <c r="F1085" s="68"/>
      <c r="G1085" s="68"/>
      <c r="H1085" s="109"/>
    </row>
    <row r="1086" spans="1:8" hidden="1" x14ac:dyDescent="0.3">
      <c r="A1086" s="103"/>
      <c r="B1086" s="105"/>
      <c r="C1086" s="111"/>
      <c r="D1086" s="70"/>
      <c r="E1086" s="62"/>
      <c r="F1086" s="68"/>
      <c r="G1086" s="68"/>
      <c r="H1086" s="109"/>
    </row>
    <row r="1087" spans="1:8" hidden="1" x14ac:dyDescent="0.3">
      <c r="A1087" s="103"/>
      <c r="B1087" s="105"/>
      <c r="C1087" s="111"/>
      <c r="D1087" s="70"/>
      <c r="E1087" s="62"/>
      <c r="F1087" s="68"/>
      <c r="G1087" s="68"/>
      <c r="H1087" s="109"/>
    </row>
    <row r="1088" spans="1:8" hidden="1" x14ac:dyDescent="0.3">
      <c r="A1088" s="103"/>
      <c r="B1088" s="105"/>
      <c r="C1088" s="111"/>
      <c r="D1088" s="70"/>
      <c r="E1088" s="62"/>
      <c r="F1088" s="68"/>
      <c r="G1088" s="68"/>
      <c r="H1088" s="109"/>
    </row>
    <row r="1089" spans="1:8" hidden="1" x14ac:dyDescent="0.3">
      <c r="A1089" s="103"/>
      <c r="B1089" s="105"/>
      <c r="C1089" s="111"/>
      <c r="D1089" s="70"/>
      <c r="E1089" s="62"/>
      <c r="F1089" s="68"/>
      <c r="G1089" s="68"/>
      <c r="H1089" s="109"/>
    </row>
    <row r="1090" spans="1:8" hidden="1" x14ac:dyDescent="0.3">
      <c r="A1090" s="103"/>
      <c r="B1090" s="105"/>
      <c r="C1090" s="111"/>
      <c r="D1090" s="70"/>
      <c r="E1090" s="62"/>
      <c r="F1090" s="68"/>
      <c r="G1090" s="68"/>
      <c r="H1090" s="109"/>
    </row>
    <row r="1091" spans="1:8" hidden="1" x14ac:dyDescent="0.3">
      <c r="A1091" s="103"/>
      <c r="B1091" s="105"/>
      <c r="C1091" s="111"/>
      <c r="D1091" s="70"/>
      <c r="E1091" s="62"/>
      <c r="F1091" s="68"/>
      <c r="G1091" s="68"/>
      <c r="H1091" s="109"/>
    </row>
    <row r="1092" spans="1:8" hidden="1" x14ac:dyDescent="0.3">
      <c r="A1092" s="103"/>
      <c r="B1092" s="105"/>
      <c r="C1092" s="111"/>
      <c r="D1092" s="70"/>
      <c r="E1092" s="62"/>
      <c r="F1092" s="68"/>
      <c r="G1092" s="68"/>
      <c r="H1092" s="109"/>
    </row>
    <row r="1093" spans="1:8" hidden="1" x14ac:dyDescent="0.3">
      <c r="A1093" s="103"/>
      <c r="B1093" s="105"/>
      <c r="C1093" s="111"/>
      <c r="D1093" s="70"/>
      <c r="E1093" s="62"/>
      <c r="F1093" s="68"/>
      <c r="G1093" s="68"/>
      <c r="H1093" s="109"/>
    </row>
    <row r="1094" spans="1:8" hidden="1" x14ac:dyDescent="0.3">
      <c r="A1094" s="103"/>
      <c r="B1094" s="105"/>
      <c r="C1094" s="111"/>
      <c r="D1094" s="70"/>
      <c r="E1094" s="62"/>
      <c r="F1094" s="68"/>
      <c r="G1094" s="68"/>
      <c r="H1094" s="109"/>
    </row>
    <row r="1095" spans="1:8" hidden="1" x14ac:dyDescent="0.3">
      <c r="A1095" s="103"/>
      <c r="B1095" s="105"/>
      <c r="C1095" s="111"/>
      <c r="D1095" s="70"/>
      <c r="E1095" s="62"/>
      <c r="F1095" s="68"/>
      <c r="G1095" s="68"/>
      <c r="H1095" s="109"/>
    </row>
    <row r="1096" spans="1:8" hidden="1" x14ac:dyDescent="0.3">
      <c r="A1096" s="103"/>
      <c r="B1096" s="105"/>
      <c r="C1096" s="111"/>
      <c r="D1096" s="70"/>
      <c r="E1096" s="62"/>
      <c r="F1096" s="68"/>
      <c r="G1096" s="68"/>
      <c r="H1096" s="109"/>
    </row>
    <row r="1097" spans="1:8" hidden="1" x14ac:dyDescent="0.3">
      <c r="A1097" s="103"/>
      <c r="B1097" s="105"/>
      <c r="C1097" s="111"/>
      <c r="D1097" s="70"/>
      <c r="E1097" s="62"/>
      <c r="F1097" s="68"/>
      <c r="G1097" s="68"/>
      <c r="H1097" s="109"/>
    </row>
    <row r="1098" spans="1:8" hidden="1" x14ac:dyDescent="0.3">
      <c r="A1098" s="103"/>
      <c r="B1098" s="105"/>
      <c r="C1098" s="111"/>
      <c r="D1098" s="70"/>
      <c r="E1098" s="62"/>
      <c r="F1098" s="68"/>
      <c r="G1098" s="68"/>
      <c r="H1098" s="109"/>
    </row>
    <row r="1099" spans="1:8" hidden="1" x14ac:dyDescent="0.3">
      <c r="A1099" s="103"/>
      <c r="B1099" s="105"/>
      <c r="C1099" s="111"/>
      <c r="D1099" s="70"/>
      <c r="E1099" s="62"/>
      <c r="F1099" s="68"/>
      <c r="G1099" s="68"/>
      <c r="H1099" s="109"/>
    </row>
    <row r="1100" spans="1:8" hidden="1" x14ac:dyDescent="0.3">
      <c r="A1100" s="103"/>
      <c r="B1100" s="105"/>
      <c r="C1100" s="111"/>
      <c r="D1100" s="70"/>
      <c r="E1100" s="62"/>
      <c r="F1100" s="68"/>
      <c r="G1100" s="68"/>
      <c r="H1100" s="109"/>
    </row>
    <row r="1101" spans="1:8" hidden="1" x14ac:dyDescent="0.3">
      <c r="A1101" s="103"/>
      <c r="B1101" s="105"/>
      <c r="C1101" s="111"/>
      <c r="D1101" s="70"/>
      <c r="E1101" s="62"/>
      <c r="F1101" s="68"/>
      <c r="G1101" s="68"/>
      <c r="H1101" s="109"/>
    </row>
    <row r="1102" spans="1:8" hidden="1" x14ac:dyDescent="0.3">
      <c r="A1102" s="103"/>
      <c r="B1102" s="105"/>
      <c r="C1102" s="111"/>
      <c r="D1102" s="70"/>
      <c r="E1102" s="62"/>
      <c r="F1102" s="68"/>
      <c r="G1102" s="68"/>
      <c r="H1102" s="109"/>
    </row>
    <row r="1103" spans="1:8" hidden="1" x14ac:dyDescent="0.3">
      <c r="A1103" s="103"/>
      <c r="B1103" s="105"/>
      <c r="C1103" s="111"/>
      <c r="D1103" s="70"/>
      <c r="E1103" s="62"/>
      <c r="F1103" s="68"/>
      <c r="G1103" s="68"/>
      <c r="H1103" s="109"/>
    </row>
    <row r="1104" spans="1:8" hidden="1" x14ac:dyDescent="0.3">
      <c r="A1104" s="103"/>
      <c r="B1104" s="105"/>
      <c r="C1104" s="111"/>
      <c r="D1104" s="70"/>
      <c r="E1104" s="62"/>
      <c r="F1104" s="68"/>
      <c r="G1104" s="68"/>
      <c r="H1104" s="109"/>
    </row>
    <row r="1105" spans="1:8" hidden="1" x14ac:dyDescent="0.3">
      <c r="A1105" s="103"/>
      <c r="B1105" s="105"/>
      <c r="C1105" s="111"/>
      <c r="D1105" s="70"/>
      <c r="E1105" s="62"/>
      <c r="F1105" s="68"/>
      <c r="G1105" s="68"/>
      <c r="H1105" s="109"/>
    </row>
    <row r="1106" spans="1:8" hidden="1" x14ac:dyDescent="0.3">
      <c r="A1106" s="103"/>
      <c r="B1106" s="105"/>
      <c r="C1106" s="111"/>
      <c r="D1106" s="70"/>
      <c r="E1106" s="62"/>
      <c r="F1106" s="68"/>
      <c r="G1106" s="68"/>
      <c r="H1106" s="109"/>
    </row>
    <row r="1107" spans="1:8" hidden="1" x14ac:dyDescent="0.3">
      <c r="A1107" s="103"/>
      <c r="B1107" s="105"/>
      <c r="C1107" s="111"/>
      <c r="D1107" s="70"/>
      <c r="E1107" s="62"/>
      <c r="F1107" s="68"/>
      <c r="G1107" s="68"/>
      <c r="H1107" s="109"/>
    </row>
    <row r="1108" spans="1:8" hidden="1" x14ac:dyDescent="0.3">
      <c r="A1108" s="103"/>
      <c r="B1108" s="105"/>
      <c r="C1108" s="111"/>
      <c r="D1108" s="70"/>
      <c r="E1108" s="62"/>
      <c r="F1108" s="68"/>
      <c r="G1108" s="68"/>
      <c r="H1108" s="109"/>
    </row>
    <row r="1109" spans="1:8" hidden="1" x14ac:dyDescent="0.3">
      <c r="A1109" s="103"/>
      <c r="B1109" s="105"/>
      <c r="C1109" s="111"/>
      <c r="D1109" s="70"/>
      <c r="E1109" s="62"/>
      <c r="F1109" s="68"/>
      <c r="G1109" s="68"/>
      <c r="H1109" s="109"/>
    </row>
    <row r="1110" spans="1:8" hidden="1" x14ac:dyDescent="0.3">
      <c r="A1110" s="103"/>
      <c r="B1110" s="105"/>
      <c r="C1110" s="111"/>
      <c r="D1110" s="70"/>
      <c r="E1110" s="62"/>
      <c r="F1110" s="68"/>
      <c r="G1110" s="68"/>
      <c r="H1110" s="109"/>
    </row>
    <row r="1111" spans="1:8" hidden="1" x14ac:dyDescent="0.3">
      <c r="A1111" s="103"/>
      <c r="B1111" s="105"/>
      <c r="C1111" s="111"/>
      <c r="D1111" s="70"/>
      <c r="E1111" s="62"/>
      <c r="F1111" s="68"/>
      <c r="G1111" s="68"/>
      <c r="H1111" s="109"/>
    </row>
    <row r="1112" spans="1:8" hidden="1" x14ac:dyDescent="0.3">
      <c r="A1112" s="103"/>
      <c r="B1112" s="105"/>
      <c r="C1112" s="111"/>
      <c r="D1112" s="70"/>
      <c r="E1112" s="62"/>
      <c r="F1112" s="68"/>
      <c r="G1112" s="68"/>
      <c r="H1112" s="109"/>
    </row>
    <row r="1113" spans="1:8" hidden="1" x14ac:dyDescent="0.3">
      <c r="A1113" s="103"/>
      <c r="B1113" s="105"/>
      <c r="C1113" s="111"/>
      <c r="D1113" s="70"/>
      <c r="E1113" s="62"/>
      <c r="F1113" s="68"/>
      <c r="G1113" s="68"/>
      <c r="H1113" s="109"/>
    </row>
    <row r="1114" spans="1:8" hidden="1" x14ac:dyDescent="0.3">
      <c r="A1114" s="103"/>
      <c r="B1114" s="105"/>
      <c r="C1114" s="111"/>
      <c r="D1114" s="70"/>
      <c r="E1114" s="62"/>
      <c r="F1114" s="68"/>
      <c r="G1114" s="68"/>
      <c r="H1114" s="109"/>
    </row>
    <row r="1115" spans="1:8" hidden="1" x14ac:dyDescent="0.3">
      <c r="A1115" s="103"/>
      <c r="B1115" s="105"/>
      <c r="C1115" s="111"/>
      <c r="D1115" s="70"/>
      <c r="E1115" s="62"/>
      <c r="F1115" s="68"/>
      <c r="G1115" s="68"/>
      <c r="H1115" s="109"/>
    </row>
    <row r="1116" spans="1:8" hidden="1" x14ac:dyDescent="0.3">
      <c r="A1116" s="103"/>
      <c r="B1116" s="105"/>
      <c r="C1116" s="111"/>
      <c r="D1116" s="70"/>
      <c r="E1116" s="62"/>
      <c r="F1116" s="68"/>
      <c r="G1116" s="68"/>
      <c r="H1116" s="109"/>
    </row>
    <row r="1117" spans="1:8" hidden="1" x14ac:dyDescent="0.3">
      <c r="A1117" s="103"/>
      <c r="B1117" s="105"/>
      <c r="C1117" s="111"/>
      <c r="D1117" s="70"/>
      <c r="E1117" s="62"/>
      <c r="F1117" s="68"/>
      <c r="G1117" s="68"/>
      <c r="H1117" s="109"/>
    </row>
    <row r="1118" spans="1:8" hidden="1" x14ac:dyDescent="0.3">
      <c r="A1118" s="103"/>
      <c r="B1118" s="105"/>
      <c r="C1118" s="111"/>
      <c r="D1118" s="70"/>
      <c r="E1118" s="62"/>
      <c r="F1118" s="68"/>
      <c r="G1118" s="68"/>
      <c r="H1118" s="109"/>
    </row>
    <row r="1119" spans="1:8" hidden="1" x14ac:dyDescent="0.3">
      <c r="A1119" s="103"/>
      <c r="B1119" s="105"/>
      <c r="C1119" s="111"/>
      <c r="D1119" s="70"/>
      <c r="E1119" s="62"/>
      <c r="F1119" s="68"/>
      <c r="G1119" s="68"/>
      <c r="H1119" s="109"/>
    </row>
    <row r="1120" spans="1:8" hidden="1" x14ac:dyDescent="0.3">
      <c r="A1120" s="103"/>
      <c r="B1120" s="105"/>
      <c r="C1120" s="111"/>
      <c r="D1120" s="70"/>
      <c r="E1120" s="62"/>
      <c r="F1120" s="68"/>
      <c r="G1120" s="68"/>
      <c r="H1120" s="109"/>
    </row>
    <row r="1121" spans="1:8" hidden="1" x14ac:dyDescent="0.3">
      <c r="A1121" s="103"/>
      <c r="B1121" s="105"/>
      <c r="C1121" s="111"/>
      <c r="D1121" s="70"/>
      <c r="E1121" s="62"/>
      <c r="F1121" s="68"/>
      <c r="G1121" s="68"/>
      <c r="H1121" s="109"/>
    </row>
    <row r="1122" spans="1:8" hidden="1" x14ac:dyDescent="0.3">
      <c r="A1122" s="103"/>
      <c r="B1122" s="105"/>
      <c r="C1122" s="111"/>
      <c r="D1122" s="70"/>
      <c r="E1122" s="62"/>
      <c r="F1122" s="68"/>
      <c r="G1122" s="68"/>
      <c r="H1122" s="109"/>
    </row>
    <row r="1123" spans="1:8" hidden="1" x14ac:dyDescent="0.3">
      <c r="A1123" s="103"/>
      <c r="B1123" s="105"/>
      <c r="C1123" s="111"/>
      <c r="D1123" s="70"/>
      <c r="E1123" s="62"/>
      <c r="F1123" s="68"/>
      <c r="G1123" s="68"/>
      <c r="H1123" s="109"/>
    </row>
    <row r="1124" spans="1:8" hidden="1" x14ac:dyDescent="0.3">
      <c r="A1124" s="103"/>
      <c r="B1124" s="105"/>
      <c r="C1124" s="111"/>
      <c r="D1124" s="70"/>
      <c r="E1124" s="62"/>
      <c r="F1124" s="68"/>
      <c r="G1124" s="68"/>
      <c r="H1124" s="109"/>
    </row>
    <row r="1125" spans="1:8" hidden="1" x14ac:dyDescent="0.3">
      <c r="A1125" s="103"/>
      <c r="B1125" s="105"/>
      <c r="C1125" s="111"/>
      <c r="D1125" s="70"/>
      <c r="E1125" s="62"/>
      <c r="F1125" s="68"/>
      <c r="G1125" s="68"/>
      <c r="H1125" s="109"/>
    </row>
    <row r="1126" spans="1:8" hidden="1" x14ac:dyDescent="0.3">
      <c r="A1126" s="103"/>
      <c r="B1126" s="105"/>
      <c r="C1126" s="111"/>
      <c r="D1126" s="70"/>
      <c r="E1126" s="62"/>
      <c r="F1126" s="68"/>
      <c r="G1126" s="68"/>
      <c r="H1126" s="109"/>
    </row>
    <row r="1127" spans="1:8" hidden="1" x14ac:dyDescent="0.3">
      <c r="A1127" s="103"/>
      <c r="B1127" s="105"/>
      <c r="C1127" s="111"/>
      <c r="D1127" s="70"/>
      <c r="E1127" s="62"/>
      <c r="F1127" s="68"/>
      <c r="G1127" s="68"/>
      <c r="H1127" s="109"/>
    </row>
    <row r="1128" spans="1:8" hidden="1" x14ac:dyDescent="0.3">
      <c r="A1128" s="103"/>
      <c r="B1128" s="105"/>
      <c r="C1128" s="111"/>
      <c r="D1128" s="70"/>
      <c r="E1128" s="62"/>
      <c r="F1128" s="68"/>
      <c r="G1128" s="68"/>
      <c r="H1128" s="109"/>
    </row>
    <row r="1129" spans="1:8" hidden="1" x14ac:dyDescent="0.3">
      <c r="A1129" s="103"/>
      <c r="B1129" s="105"/>
      <c r="C1129" s="111"/>
      <c r="D1129" s="70"/>
      <c r="E1129" s="62"/>
      <c r="F1129" s="68"/>
      <c r="G1129" s="68"/>
      <c r="H1129" s="109"/>
    </row>
    <row r="1130" spans="1:8" hidden="1" x14ac:dyDescent="0.3">
      <c r="A1130" s="103"/>
      <c r="B1130" s="105"/>
      <c r="C1130" s="111"/>
      <c r="D1130" s="70"/>
      <c r="E1130" s="62"/>
      <c r="F1130" s="68"/>
      <c r="G1130" s="68"/>
      <c r="H1130" s="109"/>
    </row>
    <row r="1131" spans="1:8" hidden="1" x14ac:dyDescent="0.3">
      <c r="A1131" s="103"/>
      <c r="B1131" s="105"/>
      <c r="C1131" s="111"/>
      <c r="D1131" s="70"/>
      <c r="E1131" s="62"/>
      <c r="F1131" s="68"/>
      <c r="G1131" s="68"/>
      <c r="H1131" s="109"/>
    </row>
    <row r="1132" spans="1:8" hidden="1" x14ac:dyDescent="0.3">
      <c r="A1132" s="103"/>
      <c r="B1132" s="105"/>
      <c r="C1132" s="111"/>
      <c r="D1132" s="70"/>
      <c r="E1132" s="62"/>
      <c r="F1132" s="68"/>
      <c r="G1132" s="68"/>
      <c r="H1132" s="109"/>
    </row>
    <row r="1133" spans="1:8" hidden="1" x14ac:dyDescent="0.3">
      <c r="A1133" s="103"/>
      <c r="B1133" s="105"/>
      <c r="C1133" s="111"/>
      <c r="D1133" s="70"/>
      <c r="E1133" s="62"/>
      <c r="F1133" s="68"/>
      <c r="G1133" s="68"/>
      <c r="H1133" s="109"/>
    </row>
    <row r="1134" spans="1:8" hidden="1" x14ac:dyDescent="0.3">
      <c r="A1134" s="103"/>
      <c r="B1134" s="105"/>
      <c r="C1134" s="111"/>
      <c r="D1134" s="70"/>
      <c r="E1134" s="62"/>
      <c r="F1134" s="68"/>
      <c r="G1134" s="68"/>
      <c r="H1134" s="109"/>
    </row>
    <row r="1135" spans="1:8" hidden="1" x14ac:dyDescent="0.3">
      <c r="A1135" s="103"/>
      <c r="B1135" s="105"/>
      <c r="C1135" s="111"/>
      <c r="D1135" s="70"/>
      <c r="E1135" s="62"/>
      <c r="F1135" s="68"/>
      <c r="G1135" s="68"/>
      <c r="H1135" s="109"/>
    </row>
    <row r="1136" spans="1:8" hidden="1" x14ac:dyDescent="0.3">
      <c r="A1136" s="103"/>
      <c r="B1136" s="105"/>
      <c r="C1136" s="111"/>
      <c r="D1136" s="70"/>
      <c r="E1136" s="62"/>
      <c r="F1136" s="68"/>
      <c r="G1136" s="68"/>
      <c r="H1136" s="109"/>
    </row>
    <row r="1137" spans="1:8" hidden="1" x14ac:dyDescent="0.3">
      <c r="A1137" s="103"/>
      <c r="B1137" s="105"/>
      <c r="C1137" s="111"/>
      <c r="D1137" s="70"/>
      <c r="E1137" s="62"/>
      <c r="F1137" s="68"/>
      <c r="G1137" s="68"/>
      <c r="H1137" s="109"/>
    </row>
    <row r="1138" spans="1:8" hidden="1" x14ac:dyDescent="0.3">
      <c r="A1138" s="103"/>
      <c r="B1138" s="105"/>
      <c r="C1138" s="111"/>
      <c r="D1138" s="70"/>
      <c r="E1138" s="62"/>
      <c r="F1138" s="68"/>
      <c r="G1138" s="68"/>
      <c r="H1138" s="109"/>
    </row>
    <row r="1139" spans="1:8" hidden="1" x14ac:dyDescent="0.3">
      <c r="A1139" s="103"/>
      <c r="B1139" s="105"/>
      <c r="C1139" s="111"/>
      <c r="D1139" s="70"/>
      <c r="E1139" s="62"/>
      <c r="F1139" s="68"/>
      <c r="G1139" s="68"/>
      <c r="H1139" s="109"/>
    </row>
    <row r="1140" spans="1:8" hidden="1" x14ac:dyDescent="0.3">
      <c r="A1140" s="103"/>
      <c r="B1140" s="105"/>
      <c r="C1140" s="111"/>
      <c r="D1140" s="70"/>
      <c r="E1140" s="62"/>
      <c r="F1140" s="68"/>
      <c r="G1140" s="68"/>
      <c r="H1140" s="109"/>
    </row>
    <row r="1141" spans="1:8" hidden="1" x14ac:dyDescent="0.3">
      <c r="A1141" s="103"/>
      <c r="B1141" s="105"/>
      <c r="C1141" s="111"/>
      <c r="D1141" s="70"/>
      <c r="E1141" s="62"/>
      <c r="F1141" s="68"/>
      <c r="G1141" s="68"/>
      <c r="H1141" s="109"/>
    </row>
    <row r="1142" spans="1:8" hidden="1" x14ac:dyDescent="0.3">
      <c r="A1142" s="103"/>
      <c r="B1142" s="105"/>
      <c r="C1142" s="111"/>
      <c r="D1142" s="70"/>
      <c r="E1142" s="62"/>
      <c r="F1142" s="68"/>
      <c r="G1142" s="68"/>
      <c r="H1142" s="109"/>
    </row>
    <row r="1143" spans="1:8" hidden="1" x14ac:dyDescent="0.3">
      <c r="A1143" s="103"/>
      <c r="B1143" s="105"/>
      <c r="C1143" s="111"/>
      <c r="D1143" s="70"/>
      <c r="E1143" s="62"/>
      <c r="F1143" s="68"/>
      <c r="G1143" s="68"/>
      <c r="H1143" s="109"/>
    </row>
    <row r="1144" spans="1:8" hidden="1" x14ac:dyDescent="0.3">
      <c r="A1144" s="103"/>
      <c r="B1144" s="105"/>
      <c r="C1144" s="111"/>
      <c r="D1144" s="70"/>
      <c r="E1144" s="62"/>
      <c r="F1144" s="68"/>
      <c r="G1144" s="68"/>
      <c r="H1144" s="109"/>
    </row>
    <row r="1145" spans="1:8" hidden="1" x14ac:dyDescent="0.3">
      <c r="A1145" s="103"/>
      <c r="B1145" s="105"/>
      <c r="C1145" s="111"/>
      <c r="D1145" s="70"/>
      <c r="E1145" s="62"/>
      <c r="F1145" s="68"/>
      <c r="G1145" s="68"/>
      <c r="H1145" s="109"/>
    </row>
    <row r="1146" spans="1:8" hidden="1" x14ac:dyDescent="0.3">
      <c r="A1146" s="103"/>
      <c r="B1146" s="105"/>
      <c r="C1146" s="111"/>
      <c r="D1146" s="70"/>
      <c r="E1146" s="62"/>
      <c r="F1146" s="68"/>
      <c r="G1146" s="68"/>
      <c r="H1146" s="109"/>
    </row>
    <row r="1147" spans="1:8" hidden="1" x14ac:dyDescent="0.3">
      <c r="A1147" s="103"/>
      <c r="B1147" s="105"/>
      <c r="C1147" s="111"/>
      <c r="D1147" s="70"/>
      <c r="E1147" s="62"/>
      <c r="F1147" s="68"/>
      <c r="G1147" s="68"/>
      <c r="H1147" s="109"/>
    </row>
    <row r="1148" spans="1:8" hidden="1" x14ac:dyDescent="0.3">
      <c r="A1148" s="103"/>
      <c r="B1148" s="105"/>
      <c r="C1148" s="111"/>
      <c r="D1148" s="70"/>
      <c r="E1148" s="62"/>
      <c r="F1148" s="68"/>
      <c r="G1148" s="68"/>
      <c r="H1148" s="109"/>
    </row>
    <row r="1149" spans="1:8" hidden="1" x14ac:dyDescent="0.3">
      <c r="A1149" s="103"/>
      <c r="B1149" s="105"/>
      <c r="C1149" s="111"/>
      <c r="D1149" s="70"/>
      <c r="E1149" s="62"/>
      <c r="F1149" s="68"/>
      <c r="G1149" s="68"/>
      <c r="H1149" s="109"/>
    </row>
    <row r="1150" spans="1:8" hidden="1" x14ac:dyDescent="0.3">
      <c r="A1150" s="103"/>
      <c r="B1150" s="105"/>
      <c r="C1150" s="111"/>
      <c r="D1150" s="70"/>
      <c r="E1150" s="62"/>
      <c r="F1150" s="68"/>
      <c r="G1150" s="68"/>
      <c r="H1150" s="109"/>
    </row>
    <row r="1151" spans="1:8" hidden="1" x14ac:dyDescent="0.3">
      <c r="A1151" s="103"/>
      <c r="B1151" s="105"/>
      <c r="C1151" s="111"/>
      <c r="D1151" s="70"/>
      <c r="E1151" s="62"/>
      <c r="F1151" s="68"/>
      <c r="G1151" s="68"/>
      <c r="H1151" s="109"/>
    </row>
    <row r="1152" spans="1:8" hidden="1" x14ac:dyDescent="0.3">
      <c r="A1152" s="103"/>
      <c r="B1152" s="105"/>
      <c r="C1152" s="111"/>
      <c r="D1152" s="70"/>
      <c r="E1152" s="62"/>
      <c r="F1152" s="68"/>
      <c r="G1152" s="68"/>
      <c r="H1152" s="109"/>
    </row>
    <row r="1153" spans="1:8" hidden="1" x14ac:dyDescent="0.3">
      <c r="A1153" s="103"/>
      <c r="B1153" s="105"/>
      <c r="C1153" s="111"/>
      <c r="D1153" s="70"/>
      <c r="E1153" s="62"/>
      <c r="F1153" s="68"/>
      <c r="G1153" s="68"/>
      <c r="H1153" s="109"/>
    </row>
    <row r="1154" spans="1:8" hidden="1" x14ac:dyDescent="0.3">
      <c r="A1154" s="103"/>
      <c r="B1154" s="105"/>
      <c r="C1154" s="111"/>
      <c r="D1154" s="70"/>
      <c r="E1154" s="62"/>
      <c r="F1154" s="68"/>
      <c r="G1154" s="68"/>
      <c r="H1154" s="109"/>
    </row>
    <row r="1155" spans="1:8" hidden="1" x14ac:dyDescent="0.3">
      <c r="A1155" s="103"/>
      <c r="B1155" s="105"/>
      <c r="C1155" s="111"/>
      <c r="D1155" s="70"/>
      <c r="E1155" s="62"/>
      <c r="F1155" s="68"/>
      <c r="G1155" s="68"/>
      <c r="H1155" s="109"/>
    </row>
    <row r="1156" spans="1:8" hidden="1" x14ac:dyDescent="0.3">
      <c r="A1156" s="103"/>
      <c r="B1156" s="105"/>
      <c r="C1156" s="111"/>
      <c r="D1156" s="70"/>
      <c r="E1156" s="62"/>
      <c r="F1156" s="68"/>
      <c r="G1156" s="68"/>
      <c r="H1156" s="109"/>
    </row>
    <row r="1157" spans="1:8" hidden="1" x14ac:dyDescent="0.3">
      <c r="A1157" s="103"/>
      <c r="B1157" s="105"/>
      <c r="C1157" s="111"/>
      <c r="D1157" s="70"/>
      <c r="E1157" s="62"/>
      <c r="F1157" s="68"/>
      <c r="G1157" s="68"/>
      <c r="H1157" s="109"/>
    </row>
    <row r="1158" spans="1:8" hidden="1" x14ac:dyDescent="0.3">
      <c r="A1158" s="103"/>
      <c r="B1158" s="105"/>
      <c r="C1158" s="111"/>
      <c r="D1158" s="70"/>
      <c r="E1158" s="62"/>
      <c r="F1158" s="68"/>
      <c r="G1158" s="68"/>
      <c r="H1158" s="109"/>
    </row>
    <row r="1159" spans="1:8" hidden="1" x14ac:dyDescent="0.3">
      <c r="A1159" s="103"/>
      <c r="B1159" s="105"/>
      <c r="C1159" s="111"/>
      <c r="D1159" s="70"/>
      <c r="E1159" s="62"/>
      <c r="F1159" s="68"/>
      <c r="G1159" s="68"/>
      <c r="H1159" s="109"/>
    </row>
    <row r="1160" spans="1:8" hidden="1" x14ac:dyDescent="0.3">
      <c r="A1160" s="103"/>
      <c r="B1160" s="105"/>
      <c r="C1160" s="111"/>
      <c r="D1160" s="70"/>
      <c r="E1160" s="62"/>
      <c r="F1160" s="68"/>
      <c r="G1160" s="68"/>
      <c r="H1160" s="109"/>
    </row>
    <row r="1161" spans="1:8" hidden="1" x14ac:dyDescent="0.3">
      <c r="A1161" s="103"/>
      <c r="B1161" s="105"/>
      <c r="C1161" s="111"/>
      <c r="D1161" s="70"/>
      <c r="E1161" s="62"/>
      <c r="F1161" s="68"/>
      <c r="G1161" s="68"/>
      <c r="H1161" s="109"/>
    </row>
    <row r="1162" spans="1:8" hidden="1" x14ac:dyDescent="0.3">
      <c r="A1162" s="103"/>
      <c r="B1162" s="105"/>
      <c r="C1162" s="111"/>
      <c r="D1162" s="70"/>
      <c r="E1162" s="62"/>
      <c r="F1162" s="68"/>
      <c r="G1162" s="68"/>
      <c r="H1162" s="109"/>
    </row>
    <row r="1163" spans="1:8" hidden="1" x14ac:dyDescent="0.3">
      <c r="A1163" s="103"/>
      <c r="B1163" s="105"/>
      <c r="C1163" s="111"/>
      <c r="D1163" s="70"/>
      <c r="E1163" s="62"/>
      <c r="F1163" s="68"/>
      <c r="G1163" s="68"/>
      <c r="H1163" s="109"/>
    </row>
    <row r="1164" spans="1:8" hidden="1" x14ac:dyDescent="0.3">
      <c r="A1164" s="103"/>
      <c r="B1164" s="105"/>
      <c r="C1164" s="111"/>
      <c r="D1164" s="70"/>
      <c r="E1164" s="62"/>
      <c r="F1164" s="68"/>
      <c r="G1164" s="68"/>
      <c r="H1164" s="109"/>
    </row>
    <row r="1165" spans="1:8" hidden="1" x14ac:dyDescent="0.3">
      <c r="A1165" s="103"/>
      <c r="B1165" s="105"/>
      <c r="C1165" s="111"/>
      <c r="D1165" s="70"/>
      <c r="E1165" s="62"/>
      <c r="F1165" s="68"/>
      <c r="G1165" s="68"/>
      <c r="H1165" s="109"/>
    </row>
    <row r="1166" spans="1:8" hidden="1" x14ac:dyDescent="0.3">
      <c r="A1166" s="103"/>
      <c r="B1166" s="105"/>
      <c r="C1166" s="111"/>
      <c r="D1166" s="70"/>
      <c r="E1166" s="62"/>
      <c r="F1166" s="68"/>
      <c r="G1166" s="68"/>
      <c r="H1166" s="109"/>
    </row>
    <row r="1167" spans="1:8" hidden="1" x14ac:dyDescent="0.3">
      <c r="A1167" s="103"/>
      <c r="B1167" s="105"/>
      <c r="C1167" s="111"/>
      <c r="D1167" s="70"/>
      <c r="E1167" s="62"/>
      <c r="F1167" s="68"/>
      <c r="G1167" s="68"/>
      <c r="H1167" s="109"/>
    </row>
    <row r="1168" spans="1:8" hidden="1" x14ac:dyDescent="0.3">
      <c r="A1168" s="103"/>
      <c r="B1168" s="105"/>
      <c r="C1168" s="111"/>
      <c r="D1168" s="70"/>
      <c r="E1168" s="62"/>
      <c r="F1168" s="68"/>
      <c r="G1168" s="68"/>
      <c r="H1168" s="109"/>
    </row>
    <row r="1169" spans="1:8" hidden="1" x14ac:dyDescent="0.3">
      <c r="A1169" s="103"/>
      <c r="B1169" s="105"/>
      <c r="C1169" s="111"/>
      <c r="D1169" s="70"/>
      <c r="E1169" s="62"/>
      <c r="F1169" s="68"/>
      <c r="G1169" s="68"/>
      <c r="H1169" s="109"/>
    </row>
    <row r="1170" spans="1:8" hidden="1" x14ac:dyDescent="0.3">
      <c r="A1170" s="103"/>
      <c r="B1170" s="105"/>
      <c r="C1170" s="111"/>
      <c r="D1170" s="70"/>
      <c r="E1170" s="62"/>
      <c r="F1170" s="68"/>
      <c r="G1170" s="68"/>
      <c r="H1170" s="109"/>
    </row>
    <row r="1171" spans="1:8" hidden="1" x14ac:dyDescent="0.3">
      <c r="A1171" s="103"/>
      <c r="B1171" s="105"/>
      <c r="C1171" s="111"/>
      <c r="D1171" s="70"/>
      <c r="E1171" s="62"/>
      <c r="F1171" s="68"/>
      <c r="G1171" s="68"/>
      <c r="H1171" s="109"/>
    </row>
    <row r="1172" spans="1:8" hidden="1" x14ac:dyDescent="0.3">
      <c r="A1172" s="103"/>
      <c r="B1172" s="105"/>
      <c r="C1172" s="111"/>
      <c r="D1172" s="70"/>
      <c r="E1172" s="62"/>
      <c r="F1172" s="68"/>
      <c r="G1172" s="68"/>
      <c r="H1172" s="109"/>
    </row>
    <row r="1173" spans="1:8" hidden="1" x14ac:dyDescent="0.3">
      <c r="A1173" s="103"/>
      <c r="B1173" s="105"/>
      <c r="C1173" s="111"/>
      <c r="D1173" s="70"/>
      <c r="E1173" s="62"/>
      <c r="F1173" s="68"/>
      <c r="G1173" s="68"/>
      <c r="H1173" s="109"/>
    </row>
    <row r="1174" spans="1:8" hidden="1" x14ac:dyDescent="0.3">
      <c r="A1174" s="103"/>
      <c r="B1174" s="105"/>
      <c r="C1174" s="111"/>
      <c r="D1174" s="70"/>
      <c r="E1174" s="62"/>
      <c r="F1174" s="68"/>
      <c r="G1174" s="68"/>
      <c r="H1174" s="109"/>
    </row>
    <row r="1175" spans="1:8" hidden="1" x14ac:dyDescent="0.3">
      <c r="A1175" s="103"/>
      <c r="B1175" s="105"/>
      <c r="C1175" s="111"/>
      <c r="D1175" s="70"/>
      <c r="E1175" s="62"/>
      <c r="F1175" s="68"/>
      <c r="G1175" s="68"/>
      <c r="H1175" s="109"/>
    </row>
    <row r="1176" spans="1:8" hidden="1" x14ac:dyDescent="0.3">
      <c r="A1176" s="103"/>
      <c r="B1176" s="105"/>
      <c r="C1176" s="111"/>
      <c r="D1176" s="70"/>
      <c r="E1176" s="62"/>
      <c r="F1176" s="68"/>
      <c r="G1176" s="68"/>
      <c r="H1176" s="109"/>
    </row>
    <row r="1177" spans="1:8" hidden="1" x14ac:dyDescent="0.3">
      <c r="A1177" s="103"/>
      <c r="B1177" s="105"/>
      <c r="C1177" s="111"/>
      <c r="D1177" s="70"/>
      <c r="E1177" s="62"/>
      <c r="F1177" s="68"/>
      <c r="G1177" s="68"/>
      <c r="H1177" s="109"/>
    </row>
    <row r="1178" spans="1:8" hidden="1" x14ac:dyDescent="0.3">
      <c r="A1178" s="103"/>
      <c r="B1178" s="105"/>
      <c r="C1178" s="111"/>
      <c r="D1178" s="70"/>
      <c r="E1178" s="62"/>
      <c r="F1178" s="68"/>
      <c r="G1178" s="68"/>
      <c r="H1178" s="109"/>
    </row>
    <row r="1179" spans="1:8" hidden="1" x14ac:dyDescent="0.3">
      <c r="A1179" s="103"/>
      <c r="B1179" s="105"/>
      <c r="C1179" s="111"/>
      <c r="D1179" s="70"/>
      <c r="E1179" s="62"/>
      <c r="F1179" s="68"/>
      <c r="G1179" s="68"/>
      <c r="H1179" s="109"/>
    </row>
    <row r="1180" spans="1:8" hidden="1" x14ac:dyDescent="0.3">
      <c r="A1180" s="103"/>
      <c r="B1180" s="105"/>
      <c r="C1180" s="111"/>
      <c r="D1180" s="70"/>
      <c r="E1180" s="62"/>
      <c r="F1180" s="68"/>
      <c r="G1180" s="68"/>
      <c r="H1180" s="109"/>
    </row>
    <row r="1181" spans="1:8" hidden="1" x14ac:dyDescent="0.3">
      <c r="A1181" s="103"/>
      <c r="B1181" s="105"/>
      <c r="C1181" s="111"/>
      <c r="D1181" s="70"/>
      <c r="E1181" s="62"/>
      <c r="F1181" s="68"/>
      <c r="G1181" s="68"/>
      <c r="H1181" s="109"/>
    </row>
    <row r="1182" spans="1:8" hidden="1" x14ac:dyDescent="0.3">
      <c r="A1182" s="103"/>
      <c r="B1182" s="105"/>
      <c r="C1182" s="111"/>
      <c r="D1182" s="70"/>
      <c r="E1182" s="62"/>
      <c r="F1182" s="68"/>
      <c r="G1182" s="68"/>
      <c r="H1182" s="109"/>
    </row>
    <row r="1183" spans="1:8" hidden="1" x14ac:dyDescent="0.3">
      <c r="A1183" s="103"/>
      <c r="B1183" s="105"/>
      <c r="C1183" s="111"/>
      <c r="D1183" s="70"/>
      <c r="E1183" s="62"/>
      <c r="F1183" s="68"/>
      <c r="G1183" s="68"/>
      <c r="H1183" s="109"/>
    </row>
    <row r="1184" spans="1:8" hidden="1" x14ac:dyDescent="0.3">
      <c r="A1184" s="103"/>
      <c r="B1184" s="105"/>
      <c r="C1184" s="111"/>
      <c r="D1184" s="70"/>
      <c r="E1184" s="62"/>
      <c r="F1184" s="68"/>
      <c r="G1184" s="68"/>
      <c r="H1184" s="109"/>
    </row>
    <row r="1185" spans="1:8" hidden="1" x14ac:dyDescent="0.3">
      <c r="A1185" s="103"/>
      <c r="B1185" s="105"/>
      <c r="C1185" s="111"/>
      <c r="D1185" s="70"/>
      <c r="E1185" s="62"/>
      <c r="F1185" s="68"/>
      <c r="G1185" s="68"/>
      <c r="H1185" s="109"/>
    </row>
    <row r="1186" spans="1:8" hidden="1" x14ac:dyDescent="0.3">
      <c r="A1186" s="103"/>
      <c r="B1186" s="105"/>
      <c r="C1186" s="111"/>
      <c r="D1186" s="70"/>
      <c r="E1186" s="62"/>
      <c r="F1186" s="68"/>
      <c r="G1186" s="68"/>
      <c r="H1186" s="109"/>
    </row>
    <row r="1187" spans="1:8" hidden="1" x14ac:dyDescent="0.3">
      <c r="A1187" s="103"/>
      <c r="B1187" s="105"/>
      <c r="C1187" s="111"/>
      <c r="D1187" s="70"/>
      <c r="E1187" s="62"/>
      <c r="F1187" s="68"/>
      <c r="G1187" s="68"/>
      <c r="H1187" s="109"/>
    </row>
    <row r="1188" spans="1:8" hidden="1" x14ac:dyDescent="0.3">
      <c r="A1188" s="103"/>
      <c r="B1188" s="105"/>
      <c r="C1188" s="111"/>
      <c r="D1188" s="70"/>
      <c r="E1188" s="62"/>
      <c r="F1188" s="68"/>
      <c r="G1188" s="68"/>
      <c r="H1188" s="109"/>
    </row>
    <row r="1189" spans="1:8" hidden="1" x14ac:dyDescent="0.3">
      <c r="A1189" s="103"/>
      <c r="B1189" s="105"/>
      <c r="C1189" s="111"/>
      <c r="D1189" s="70"/>
      <c r="E1189" s="62"/>
      <c r="F1189" s="68"/>
      <c r="G1189" s="68"/>
      <c r="H1189" s="109"/>
    </row>
    <row r="1190" spans="1:8" hidden="1" x14ac:dyDescent="0.3">
      <c r="A1190" s="103"/>
      <c r="B1190" s="105"/>
      <c r="C1190" s="111"/>
      <c r="D1190" s="70"/>
      <c r="E1190" s="62"/>
      <c r="F1190" s="68"/>
      <c r="G1190" s="68"/>
      <c r="H1190" s="109"/>
    </row>
    <row r="1191" spans="1:8" hidden="1" x14ac:dyDescent="0.3">
      <c r="A1191" s="103"/>
      <c r="B1191" s="105"/>
      <c r="C1191" s="111"/>
      <c r="D1191" s="70"/>
      <c r="E1191" s="62"/>
      <c r="F1191" s="68"/>
      <c r="G1191" s="68"/>
      <c r="H1191" s="109"/>
    </row>
    <row r="1192" spans="1:8" hidden="1" x14ac:dyDescent="0.3">
      <c r="A1192" s="103"/>
      <c r="B1192" s="105"/>
      <c r="C1192" s="111"/>
      <c r="D1192" s="70"/>
      <c r="E1192" s="62"/>
      <c r="F1192" s="68"/>
      <c r="G1192" s="68"/>
      <c r="H1192" s="109"/>
    </row>
    <row r="1193" spans="1:8" hidden="1" x14ac:dyDescent="0.3">
      <c r="A1193" s="103"/>
      <c r="B1193" s="105"/>
      <c r="C1193" s="111"/>
      <c r="D1193" s="70"/>
      <c r="E1193" s="62"/>
      <c r="F1193" s="68"/>
      <c r="G1193" s="68"/>
      <c r="H1193" s="109"/>
    </row>
    <row r="1194" spans="1:8" hidden="1" x14ac:dyDescent="0.3">
      <c r="A1194" s="103"/>
      <c r="B1194" s="105"/>
      <c r="C1194" s="111"/>
      <c r="D1194" s="70"/>
      <c r="E1194" s="62"/>
      <c r="F1194" s="68"/>
      <c r="G1194" s="68"/>
      <c r="H1194" s="109"/>
    </row>
    <row r="1195" spans="1:8" hidden="1" x14ac:dyDescent="0.3">
      <c r="A1195" s="103"/>
      <c r="B1195" s="105"/>
      <c r="C1195" s="111"/>
      <c r="D1195" s="70"/>
      <c r="E1195" s="62"/>
      <c r="F1195" s="68"/>
      <c r="G1195" s="68"/>
      <c r="H1195" s="109"/>
    </row>
    <row r="1196" spans="1:8" hidden="1" x14ac:dyDescent="0.3">
      <c r="A1196" s="103"/>
      <c r="B1196" s="105"/>
      <c r="C1196" s="111"/>
      <c r="D1196" s="70"/>
      <c r="E1196" s="62"/>
      <c r="F1196" s="68"/>
      <c r="G1196" s="68"/>
      <c r="H1196" s="109"/>
    </row>
    <row r="1197" spans="1:8" hidden="1" x14ac:dyDescent="0.3">
      <c r="A1197" s="103"/>
      <c r="B1197" s="105"/>
      <c r="C1197" s="111"/>
      <c r="D1197" s="70"/>
      <c r="E1197" s="62"/>
      <c r="F1197" s="68"/>
      <c r="G1197" s="68"/>
      <c r="H1197" s="109"/>
    </row>
    <row r="1198" spans="1:8" hidden="1" x14ac:dyDescent="0.3">
      <c r="A1198" s="103"/>
      <c r="B1198" s="105"/>
      <c r="C1198" s="111"/>
      <c r="D1198" s="70"/>
      <c r="E1198" s="62"/>
      <c r="F1198" s="68"/>
      <c r="G1198" s="68"/>
      <c r="H1198" s="109"/>
    </row>
    <row r="1199" spans="1:8" hidden="1" x14ac:dyDescent="0.3">
      <c r="A1199" s="103"/>
      <c r="B1199" s="105"/>
      <c r="C1199" s="111"/>
      <c r="D1199" s="70"/>
      <c r="E1199" s="62"/>
      <c r="F1199" s="68"/>
      <c r="G1199" s="68"/>
      <c r="H1199" s="109"/>
    </row>
    <row r="1200" spans="1:8" hidden="1" x14ac:dyDescent="0.3">
      <c r="A1200" s="103"/>
      <c r="B1200" s="105"/>
      <c r="C1200" s="111"/>
      <c r="D1200" s="70"/>
      <c r="E1200" s="62"/>
      <c r="F1200" s="68"/>
      <c r="G1200" s="68"/>
      <c r="H1200" s="109"/>
    </row>
    <row r="1201" spans="1:8" hidden="1" x14ac:dyDescent="0.3">
      <c r="A1201" s="103"/>
      <c r="B1201" s="105"/>
      <c r="C1201" s="111"/>
      <c r="D1201" s="70"/>
      <c r="E1201" s="62"/>
      <c r="F1201" s="68"/>
      <c r="G1201" s="68"/>
      <c r="H1201" s="109"/>
    </row>
    <row r="1202" spans="1:8" hidden="1" x14ac:dyDescent="0.3">
      <c r="A1202" s="103"/>
      <c r="B1202" s="105"/>
      <c r="C1202" s="111"/>
      <c r="D1202" s="70"/>
      <c r="E1202" s="62"/>
      <c r="F1202" s="68"/>
      <c r="G1202" s="68"/>
      <c r="H1202" s="109"/>
    </row>
    <row r="1203" spans="1:8" hidden="1" x14ac:dyDescent="0.3">
      <c r="A1203" s="103"/>
      <c r="B1203" s="105"/>
      <c r="C1203" s="111"/>
      <c r="D1203" s="70"/>
      <c r="E1203" s="62"/>
      <c r="F1203" s="68"/>
      <c r="G1203" s="68"/>
      <c r="H1203" s="109"/>
    </row>
    <row r="1204" spans="1:8" hidden="1" x14ac:dyDescent="0.3">
      <c r="A1204" s="103"/>
      <c r="B1204" s="105"/>
      <c r="C1204" s="111"/>
      <c r="D1204" s="70"/>
      <c r="E1204" s="62"/>
      <c r="F1204" s="68"/>
      <c r="G1204" s="68"/>
      <c r="H1204" s="109"/>
    </row>
    <row r="1205" spans="1:8" hidden="1" x14ac:dyDescent="0.3">
      <c r="A1205" s="103"/>
      <c r="B1205" s="105"/>
      <c r="C1205" s="111"/>
      <c r="D1205" s="70"/>
      <c r="E1205" s="62"/>
      <c r="F1205" s="68"/>
      <c r="G1205" s="68"/>
      <c r="H1205" s="109"/>
    </row>
    <row r="1206" spans="1:8" hidden="1" x14ac:dyDescent="0.3">
      <c r="A1206" s="103"/>
      <c r="B1206" s="105"/>
      <c r="C1206" s="111"/>
      <c r="D1206" s="70"/>
      <c r="E1206" s="62"/>
      <c r="F1206" s="68"/>
      <c r="G1206" s="68"/>
      <c r="H1206" s="109"/>
    </row>
    <row r="1207" spans="1:8" hidden="1" x14ac:dyDescent="0.3">
      <c r="A1207" s="103"/>
      <c r="B1207" s="105"/>
      <c r="C1207" s="111"/>
      <c r="D1207" s="70"/>
      <c r="E1207" s="62"/>
      <c r="F1207" s="68"/>
      <c r="G1207" s="68"/>
      <c r="H1207" s="109"/>
    </row>
    <row r="1208" spans="1:8" hidden="1" x14ac:dyDescent="0.3">
      <c r="A1208" s="103"/>
      <c r="B1208" s="105"/>
      <c r="C1208" s="111"/>
      <c r="D1208" s="70"/>
      <c r="E1208" s="62"/>
      <c r="F1208" s="68"/>
      <c r="G1208" s="68"/>
      <c r="H1208" s="109"/>
    </row>
    <row r="1209" spans="1:8" hidden="1" x14ac:dyDescent="0.3">
      <c r="A1209" s="103"/>
      <c r="B1209" s="105"/>
      <c r="C1209" s="111"/>
      <c r="D1209" s="70"/>
      <c r="E1209" s="62"/>
      <c r="F1209" s="68"/>
      <c r="G1209" s="68"/>
      <c r="H1209" s="109"/>
    </row>
    <row r="1210" spans="1:8" hidden="1" x14ac:dyDescent="0.3">
      <c r="A1210" s="103"/>
      <c r="B1210" s="105"/>
      <c r="C1210" s="111"/>
      <c r="D1210" s="70"/>
      <c r="E1210" s="62"/>
      <c r="F1210" s="68"/>
      <c r="G1210" s="68"/>
      <c r="H1210" s="109"/>
    </row>
    <row r="1211" spans="1:8" hidden="1" x14ac:dyDescent="0.3">
      <c r="A1211" s="103"/>
      <c r="B1211" s="105"/>
      <c r="C1211" s="111"/>
      <c r="D1211" s="70"/>
      <c r="E1211" s="62"/>
      <c r="F1211" s="68"/>
      <c r="G1211" s="68"/>
      <c r="H1211" s="109"/>
    </row>
    <row r="1212" spans="1:8" hidden="1" x14ac:dyDescent="0.3">
      <c r="A1212" s="103"/>
      <c r="B1212" s="105"/>
      <c r="C1212" s="111"/>
      <c r="D1212" s="70"/>
      <c r="E1212" s="62"/>
      <c r="F1212" s="68"/>
      <c r="G1212" s="68"/>
      <c r="H1212" s="109"/>
    </row>
    <row r="1213" spans="1:8" hidden="1" x14ac:dyDescent="0.3">
      <c r="A1213" s="103"/>
      <c r="B1213" s="105"/>
      <c r="C1213" s="111"/>
      <c r="D1213" s="70"/>
      <c r="E1213" s="62"/>
      <c r="F1213" s="68"/>
      <c r="G1213" s="68"/>
      <c r="H1213" s="109"/>
    </row>
    <row r="1214" spans="1:8" hidden="1" x14ac:dyDescent="0.3">
      <c r="A1214" s="103"/>
      <c r="B1214" s="105"/>
      <c r="C1214" s="111"/>
      <c r="D1214" s="70"/>
      <c r="E1214" s="62"/>
      <c r="F1214" s="68"/>
      <c r="G1214" s="68"/>
      <c r="H1214" s="109"/>
    </row>
    <row r="1215" spans="1:8" hidden="1" x14ac:dyDescent="0.3">
      <c r="A1215" s="103"/>
      <c r="B1215" s="105"/>
      <c r="C1215" s="111"/>
      <c r="D1215" s="70"/>
      <c r="E1215" s="62"/>
      <c r="F1215" s="68"/>
      <c r="G1215" s="68"/>
      <c r="H1215" s="109"/>
    </row>
    <row r="1216" spans="1:8" hidden="1" x14ac:dyDescent="0.3">
      <c r="A1216" s="103"/>
      <c r="B1216" s="105"/>
      <c r="C1216" s="111"/>
      <c r="D1216" s="70"/>
      <c r="E1216" s="62"/>
      <c r="F1216" s="68"/>
      <c r="G1216" s="68"/>
      <c r="H1216" s="109"/>
    </row>
    <row r="1217" spans="1:8" hidden="1" x14ac:dyDescent="0.3">
      <c r="A1217" s="103"/>
      <c r="B1217" s="105"/>
      <c r="C1217" s="111"/>
      <c r="D1217" s="70"/>
      <c r="E1217" s="62"/>
      <c r="F1217" s="68"/>
      <c r="G1217" s="68"/>
      <c r="H1217" s="109"/>
    </row>
    <row r="1218" spans="1:8" hidden="1" x14ac:dyDescent="0.3">
      <c r="A1218" s="103"/>
      <c r="B1218" s="105"/>
      <c r="C1218" s="111"/>
      <c r="D1218" s="70"/>
      <c r="E1218" s="62"/>
      <c r="F1218" s="68"/>
      <c r="G1218" s="68"/>
      <c r="H1218" s="109"/>
    </row>
    <row r="1219" spans="1:8" hidden="1" x14ac:dyDescent="0.3">
      <c r="A1219" s="103"/>
      <c r="B1219" s="105"/>
      <c r="C1219" s="111"/>
      <c r="D1219" s="70"/>
      <c r="E1219" s="62"/>
      <c r="F1219" s="68"/>
      <c r="G1219" s="68"/>
      <c r="H1219" s="109"/>
    </row>
    <row r="1220" spans="1:8" hidden="1" x14ac:dyDescent="0.3">
      <c r="A1220" s="103"/>
      <c r="B1220" s="105"/>
      <c r="C1220" s="111"/>
      <c r="D1220" s="70"/>
      <c r="E1220" s="62"/>
      <c r="F1220" s="68"/>
      <c r="G1220" s="68"/>
      <c r="H1220" s="109"/>
    </row>
    <row r="1221" spans="1:8" hidden="1" x14ac:dyDescent="0.3">
      <c r="A1221" s="103"/>
      <c r="B1221" s="105"/>
      <c r="C1221" s="111"/>
      <c r="D1221" s="70"/>
      <c r="E1221" s="62"/>
      <c r="F1221" s="68"/>
      <c r="G1221" s="68"/>
      <c r="H1221" s="109"/>
    </row>
    <row r="1222" spans="1:8" hidden="1" x14ac:dyDescent="0.3">
      <c r="A1222" s="103"/>
      <c r="B1222" s="105"/>
      <c r="C1222" s="111"/>
      <c r="D1222" s="70"/>
      <c r="E1222" s="62"/>
      <c r="F1222" s="68"/>
      <c r="G1222" s="68"/>
      <c r="H1222" s="109"/>
    </row>
    <row r="1223" spans="1:8" hidden="1" x14ac:dyDescent="0.3">
      <c r="A1223" s="103"/>
      <c r="B1223" s="105"/>
      <c r="C1223" s="111"/>
      <c r="D1223" s="70"/>
      <c r="E1223" s="62"/>
      <c r="F1223" s="68"/>
      <c r="G1223" s="68"/>
      <c r="H1223" s="109"/>
    </row>
    <row r="1224" spans="1:8" hidden="1" x14ac:dyDescent="0.3">
      <c r="A1224" s="103"/>
      <c r="B1224" s="105"/>
      <c r="C1224" s="111"/>
      <c r="D1224" s="70"/>
      <c r="E1224" s="62"/>
      <c r="F1224" s="68"/>
      <c r="G1224" s="68"/>
      <c r="H1224" s="109"/>
    </row>
    <row r="1225" spans="1:8" hidden="1" x14ac:dyDescent="0.3">
      <c r="A1225" s="103"/>
      <c r="B1225" s="105"/>
      <c r="C1225" s="111"/>
      <c r="D1225" s="70"/>
      <c r="E1225" s="62"/>
      <c r="F1225" s="68"/>
      <c r="G1225" s="68"/>
      <c r="H1225" s="109"/>
    </row>
    <row r="1226" spans="1:8" hidden="1" x14ac:dyDescent="0.3">
      <c r="A1226" s="103"/>
      <c r="B1226" s="105"/>
      <c r="C1226" s="111"/>
      <c r="D1226" s="70"/>
      <c r="E1226" s="62"/>
      <c r="F1226" s="68"/>
      <c r="G1226" s="68"/>
      <c r="H1226" s="109"/>
    </row>
    <row r="1227" spans="1:8" hidden="1" x14ac:dyDescent="0.3">
      <c r="A1227" s="103"/>
      <c r="B1227" s="105"/>
      <c r="C1227" s="111"/>
      <c r="D1227" s="70"/>
      <c r="E1227" s="62"/>
      <c r="F1227" s="68"/>
      <c r="G1227" s="68"/>
      <c r="H1227" s="109"/>
    </row>
    <row r="1228" spans="1:8" hidden="1" x14ac:dyDescent="0.3">
      <c r="A1228" s="103"/>
      <c r="B1228" s="105"/>
      <c r="C1228" s="111"/>
      <c r="D1228" s="70"/>
      <c r="E1228" s="62"/>
      <c r="F1228" s="68"/>
      <c r="G1228" s="68"/>
      <c r="H1228" s="109"/>
    </row>
    <row r="1229" spans="1:8" hidden="1" x14ac:dyDescent="0.3">
      <c r="A1229" s="103"/>
      <c r="B1229" s="105"/>
      <c r="C1229" s="111"/>
      <c r="D1229" s="70"/>
      <c r="E1229" s="62"/>
      <c r="F1229" s="68"/>
      <c r="G1229" s="68"/>
      <c r="H1229" s="109"/>
    </row>
    <row r="1230" spans="1:8" hidden="1" x14ac:dyDescent="0.3">
      <c r="A1230" s="103"/>
      <c r="B1230" s="105"/>
      <c r="C1230" s="111"/>
      <c r="D1230" s="70"/>
      <c r="E1230" s="62"/>
      <c r="F1230" s="68"/>
      <c r="G1230" s="68"/>
      <c r="H1230" s="109"/>
    </row>
    <row r="1231" spans="1:8" hidden="1" x14ac:dyDescent="0.3">
      <c r="A1231" s="103"/>
      <c r="B1231" s="105"/>
      <c r="C1231" s="111"/>
      <c r="D1231" s="70"/>
      <c r="E1231" s="62"/>
      <c r="F1231" s="68"/>
      <c r="G1231" s="68"/>
      <c r="H1231" s="109"/>
    </row>
    <row r="1232" spans="1:8" hidden="1" x14ac:dyDescent="0.3">
      <c r="A1232" s="103"/>
      <c r="B1232" s="105"/>
      <c r="C1232" s="111"/>
      <c r="D1232" s="70"/>
      <c r="E1232" s="62"/>
      <c r="F1232" s="68"/>
      <c r="G1232" s="68"/>
      <c r="H1232" s="109"/>
    </row>
    <row r="1233" spans="1:8" hidden="1" x14ac:dyDescent="0.3">
      <c r="A1233" s="103"/>
      <c r="B1233" s="105"/>
      <c r="C1233" s="111"/>
      <c r="D1233" s="70"/>
      <c r="E1233" s="62"/>
      <c r="F1233" s="68"/>
      <c r="G1233" s="68"/>
      <c r="H1233" s="109"/>
    </row>
    <row r="1234" spans="1:8" hidden="1" x14ac:dyDescent="0.3">
      <c r="A1234" s="103"/>
      <c r="B1234" s="105"/>
      <c r="C1234" s="111"/>
      <c r="D1234" s="70"/>
      <c r="E1234" s="62"/>
      <c r="F1234" s="68"/>
      <c r="G1234" s="68"/>
      <c r="H1234" s="109"/>
    </row>
    <row r="1235" spans="1:8" hidden="1" x14ac:dyDescent="0.3">
      <c r="A1235" s="103"/>
      <c r="B1235" s="105"/>
      <c r="C1235" s="111"/>
      <c r="D1235" s="70"/>
      <c r="E1235" s="62"/>
      <c r="F1235" s="68"/>
      <c r="G1235" s="68"/>
      <c r="H1235" s="109"/>
    </row>
    <row r="1236" spans="1:8" hidden="1" x14ac:dyDescent="0.3">
      <c r="A1236" s="103"/>
      <c r="B1236" s="105"/>
      <c r="C1236" s="111"/>
      <c r="D1236" s="70"/>
      <c r="E1236" s="62"/>
      <c r="F1236" s="68"/>
      <c r="G1236" s="68"/>
      <c r="H1236" s="109"/>
    </row>
    <row r="1237" spans="1:8" hidden="1" x14ac:dyDescent="0.3">
      <c r="A1237" s="103"/>
      <c r="B1237" s="105"/>
      <c r="C1237" s="111"/>
      <c r="D1237" s="70"/>
      <c r="E1237" s="62"/>
      <c r="F1237" s="68"/>
      <c r="G1237" s="68"/>
      <c r="H1237" s="109"/>
    </row>
    <row r="1238" spans="1:8" hidden="1" x14ac:dyDescent="0.3">
      <c r="A1238" s="103"/>
      <c r="B1238" s="105"/>
      <c r="C1238" s="111"/>
      <c r="D1238" s="70"/>
      <c r="E1238" s="62"/>
      <c r="F1238" s="68"/>
      <c r="G1238" s="68"/>
      <c r="H1238" s="109"/>
    </row>
    <row r="1239" spans="1:8" hidden="1" x14ac:dyDescent="0.3">
      <c r="A1239" s="103"/>
      <c r="B1239" s="105"/>
      <c r="C1239" s="111"/>
      <c r="D1239" s="70"/>
      <c r="E1239" s="62"/>
      <c r="F1239" s="68"/>
      <c r="G1239" s="68"/>
      <c r="H1239" s="109"/>
    </row>
    <row r="1240" spans="1:8" hidden="1" x14ac:dyDescent="0.3">
      <c r="A1240" s="103"/>
      <c r="B1240" s="105"/>
      <c r="C1240" s="111"/>
      <c r="D1240" s="70"/>
      <c r="E1240" s="62"/>
      <c r="F1240" s="68"/>
      <c r="G1240" s="68"/>
      <c r="H1240" s="109"/>
    </row>
    <row r="1241" spans="1:8" hidden="1" x14ac:dyDescent="0.3">
      <c r="A1241" s="103"/>
      <c r="B1241" s="105"/>
      <c r="C1241" s="111"/>
      <c r="D1241" s="70"/>
      <c r="E1241" s="62"/>
      <c r="F1241" s="68"/>
      <c r="G1241" s="68"/>
      <c r="H1241" s="109"/>
    </row>
    <row r="1242" spans="1:8" hidden="1" x14ac:dyDescent="0.3">
      <c r="A1242" s="103"/>
      <c r="B1242" s="105"/>
      <c r="C1242" s="111"/>
      <c r="D1242" s="70"/>
      <c r="E1242" s="62"/>
      <c r="F1242" s="68"/>
      <c r="G1242" s="68"/>
      <c r="H1242" s="109"/>
    </row>
    <row r="1243" spans="1:8" hidden="1" x14ac:dyDescent="0.3">
      <c r="A1243" s="103"/>
      <c r="B1243" s="105"/>
      <c r="C1243" s="111"/>
      <c r="D1243" s="70"/>
      <c r="E1243" s="62"/>
      <c r="F1243" s="68"/>
      <c r="G1243" s="68"/>
      <c r="H1243" s="109"/>
    </row>
    <row r="1244" spans="1:8" hidden="1" x14ac:dyDescent="0.3">
      <c r="A1244" s="103"/>
      <c r="B1244" s="105"/>
      <c r="C1244" s="111"/>
      <c r="D1244" s="70"/>
      <c r="E1244" s="62"/>
      <c r="F1244" s="68"/>
      <c r="G1244" s="68"/>
      <c r="H1244" s="109"/>
    </row>
    <row r="1245" spans="1:8" hidden="1" x14ac:dyDescent="0.3">
      <c r="A1245" s="103"/>
      <c r="B1245" s="105"/>
      <c r="C1245" s="111"/>
      <c r="D1245" s="70"/>
      <c r="E1245" s="62"/>
      <c r="F1245" s="68"/>
      <c r="G1245" s="68"/>
      <c r="H1245" s="109"/>
    </row>
    <row r="1246" spans="1:8" hidden="1" x14ac:dyDescent="0.3">
      <c r="A1246" s="103"/>
      <c r="B1246" s="105"/>
      <c r="C1246" s="111"/>
      <c r="D1246" s="70"/>
      <c r="E1246" s="62"/>
      <c r="F1246" s="68"/>
      <c r="G1246" s="68"/>
      <c r="H1246" s="109"/>
    </row>
    <row r="1247" spans="1:8" hidden="1" x14ac:dyDescent="0.3">
      <c r="A1247" s="103"/>
      <c r="B1247" s="105"/>
      <c r="C1247" s="111"/>
      <c r="D1247" s="70"/>
      <c r="E1247" s="62"/>
      <c r="F1247" s="68"/>
      <c r="G1247" s="68"/>
      <c r="H1247" s="109"/>
    </row>
    <row r="1248" spans="1:8" hidden="1" x14ac:dyDescent="0.3">
      <c r="A1248" s="103"/>
      <c r="B1248" s="105"/>
      <c r="C1248" s="111"/>
      <c r="D1248" s="70"/>
      <c r="E1248" s="62"/>
      <c r="F1248" s="68"/>
      <c r="G1248" s="68"/>
      <c r="H1248" s="109"/>
    </row>
    <row r="1249" spans="1:8" hidden="1" x14ac:dyDescent="0.3">
      <c r="A1249" s="103"/>
      <c r="B1249" s="105"/>
      <c r="C1249" s="111"/>
      <c r="D1249" s="70"/>
      <c r="E1249" s="62"/>
      <c r="F1249" s="68"/>
      <c r="G1249" s="68"/>
      <c r="H1249" s="109"/>
    </row>
    <row r="1250" spans="1:8" hidden="1" x14ac:dyDescent="0.3">
      <c r="A1250" s="103"/>
      <c r="B1250" s="105"/>
      <c r="C1250" s="111"/>
      <c r="D1250" s="70"/>
      <c r="E1250" s="62"/>
      <c r="F1250" s="68"/>
      <c r="G1250" s="68"/>
      <c r="H1250" s="109"/>
    </row>
    <row r="1251" spans="1:8" hidden="1" x14ac:dyDescent="0.3">
      <c r="A1251" s="103"/>
      <c r="B1251" s="105"/>
      <c r="C1251" s="111"/>
      <c r="D1251" s="70"/>
      <c r="E1251" s="62"/>
      <c r="F1251" s="68"/>
      <c r="G1251" s="68"/>
      <c r="H1251" s="109"/>
    </row>
    <row r="1252" spans="1:8" hidden="1" x14ac:dyDescent="0.3">
      <c r="A1252" s="103"/>
      <c r="B1252" s="105"/>
      <c r="C1252" s="111"/>
      <c r="D1252" s="70"/>
      <c r="E1252" s="62"/>
      <c r="F1252" s="68"/>
      <c r="G1252" s="68"/>
      <c r="H1252" s="109"/>
    </row>
    <row r="1253" spans="1:8" hidden="1" x14ac:dyDescent="0.3">
      <c r="A1253" s="103"/>
      <c r="B1253" s="105"/>
      <c r="C1253" s="111"/>
      <c r="D1253" s="70"/>
      <c r="E1253" s="62"/>
      <c r="F1253" s="68"/>
      <c r="G1253" s="68"/>
      <c r="H1253" s="109"/>
    </row>
    <row r="1254" spans="1:8" hidden="1" x14ac:dyDescent="0.3">
      <c r="A1254" s="103"/>
      <c r="B1254" s="105"/>
      <c r="C1254" s="111"/>
      <c r="D1254" s="70"/>
      <c r="E1254" s="62"/>
      <c r="F1254" s="68"/>
      <c r="G1254" s="68"/>
      <c r="H1254" s="109"/>
    </row>
    <row r="1255" spans="1:8" hidden="1" x14ac:dyDescent="0.3">
      <c r="A1255" s="103"/>
      <c r="B1255" s="105"/>
      <c r="C1255" s="111"/>
      <c r="D1255" s="70"/>
      <c r="E1255" s="62"/>
      <c r="F1255" s="68"/>
      <c r="G1255" s="68"/>
      <c r="H1255" s="109"/>
    </row>
    <row r="1256" spans="1:8" hidden="1" x14ac:dyDescent="0.3">
      <c r="A1256" s="103"/>
      <c r="B1256" s="105"/>
      <c r="C1256" s="111"/>
      <c r="D1256" s="70"/>
      <c r="E1256" s="62"/>
      <c r="F1256" s="68"/>
      <c r="G1256" s="68"/>
      <c r="H1256" s="109"/>
    </row>
    <row r="1257" spans="1:8" hidden="1" x14ac:dyDescent="0.3">
      <c r="A1257" s="103"/>
      <c r="B1257" s="105"/>
      <c r="C1257" s="111"/>
      <c r="D1257" s="70"/>
      <c r="E1257" s="62"/>
      <c r="F1257" s="68"/>
      <c r="G1257" s="68"/>
      <c r="H1257" s="109"/>
    </row>
    <row r="1258" spans="1:8" hidden="1" x14ac:dyDescent="0.3">
      <c r="A1258" s="103"/>
      <c r="B1258" s="105"/>
      <c r="C1258" s="111"/>
      <c r="D1258" s="70"/>
      <c r="E1258" s="62"/>
      <c r="F1258" s="68"/>
      <c r="G1258" s="68"/>
      <c r="H1258" s="109"/>
    </row>
    <row r="1259" spans="1:8" hidden="1" x14ac:dyDescent="0.3">
      <c r="A1259" s="103"/>
      <c r="B1259" s="105"/>
      <c r="C1259" s="111"/>
      <c r="D1259" s="70"/>
      <c r="E1259" s="62"/>
      <c r="F1259" s="68"/>
      <c r="G1259" s="68"/>
      <c r="H1259" s="109"/>
    </row>
    <row r="1260" spans="1:8" hidden="1" x14ac:dyDescent="0.3">
      <c r="A1260" s="103"/>
      <c r="B1260" s="105"/>
      <c r="C1260" s="111"/>
      <c r="D1260" s="70"/>
      <c r="E1260" s="62"/>
      <c r="F1260" s="68"/>
      <c r="G1260" s="68"/>
      <c r="H1260" s="109"/>
    </row>
    <row r="1261" spans="1:8" hidden="1" x14ac:dyDescent="0.3">
      <c r="A1261" s="103"/>
      <c r="B1261" s="105"/>
      <c r="C1261" s="111"/>
      <c r="D1261" s="70"/>
      <c r="E1261" s="62"/>
      <c r="F1261" s="68"/>
      <c r="G1261" s="68"/>
      <c r="H1261" s="109"/>
    </row>
    <row r="1262" spans="1:8" hidden="1" x14ac:dyDescent="0.3">
      <c r="A1262" s="103"/>
      <c r="B1262" s="105"/>
      <c r="C1262" s="111"/>
      <c r="D1262" s="70"/>
      <c r="E1262" s="62"/>
      <c r="F1262" s="68"/>
      <c r="G1262" s="68"/>
      <c r="H1262" s="109"/>
    </row>
    <row r="1263" spans="1:8" hidden="1" x14ac:dyDescent="0.3">
      <c r="A1263" s="103"/>
      <c r="B1263" s="105"/>
      <c r="C1263" s="111"/>
      <c r="D1263" s="70"/>
      <c r="E1263" s="62"/>
      <c r="F1263" s="68"/>
      <c r="G1263" s="68"/>
      <c r="H1263" s="109"/>
    </row>
    <row r="1264" spans="1:8" hidden="1" x14ac:dyDescent="0.3">
      <c r="A1264" s="103"/>
      <c r="B1264" s="105"/>
      <c r="C1264" s="111"/>
      <c r="D1264" s="70"/>
      <c r="E1264" s="62"/>
      <c r="F1264" s="68"/>
      <c r="G1264" s="68"/>
      <c r="H1264" s="109"/>
    </row>
    <row r="1265" spans="1:8" hidden="1" x14ac:dyDescent="0.3">
      <c r="A1265" s="103"/>
      <c r="B1265" s="105"/>
      <c r="C1265" s="111"/>
      <c r="D1265" s="70"/>
      <c r="E1265" s="62"/>
      <c r="F1265" s="68"/>
      <c r="G1265" s="68"/>
      <c r="H1265" s="109"/>
    </row>
    <row r="1266" spans="1:8" hidden="1" x14ac:dyDescent="0.3">
      <c r="A1266" s="103"/>
      <c r="B1266" s="105"/>
      <c r="C1266" s="111"/>
      <c r="D1266" s="70"/>
      <c r="E1266" s="62"/>
      <c r="F1266" s="68"/>
      <c r="G1266" s="68"/>
      <c r="H1266" s="109"/>
    </row>
    <row r="1267" spans="1:8" hidden="1" x14ac:dyDescent="0.3">
      <c r="A1267" s="103"/>
      <c r="B1267" s="105"/>
      <c r="C1267" s="111"/>
      <c r="D1267" s="70"/>
      <c r="E1267" s="62"/>
      <c r="F1267" s="68"/>
      <c r="G1267" s="68"/>
      <c r="H1267" s="109"/>
    </row>
    <row r="1268" spans="1:8" hidden="1" x14ac:dyDescent="0.3">
      <c r="A1268" s="103"/>
      <c r="B1268" s="105"/>
      <c r="C1268" s="111"/>
      <c r="D1268" s="70"/>
      <c r="E1268" s="62"/>
      <c r="F1268" s="68"/>
      <c r="G1268" s="68"/>
      <c r="H1268" s="109"/>
    </row>
    <row r="1269" spans="1:8" hidden="1" x14ac:dyDescent="0.3">
      <c r="A1269" s="103"/>
      <c r="B1269" s="105"/>
      <c r="C1269" s="111"/>
      <c r="D1269" s="70"/>
      <c r="E1269" s="62"/>
      <c r="F1269" s="68"/>
      <c r="G1269" s="68"/>
      <c r="H1269" s="109"/>
    </row>
    <row r="1270" spans="1:8" hidden="1" x14ac:dyDescent="0.3">
      <c r="A1270" s="103"/>
      <c r="B1270" s="105"/>
      <c r="C1270" s="111"/>
      <c r="D1270" s="70"/>
      <c r="E1270" s="62"/>
      <c r="F1270" s="68"/>
      <c r="G1270" s="68"/>
      <c r="H1270" s="109"/>
    </row>
    <row r="1271" spans="1:8" hidden="1" x14ac:dyDescent="0.3">
      <c r="A1271" s="103"/>
      <c r="B1271" s="105"/>
      <c r="C1271" s="111"/>
      <c r="D1271" s="70"/>
      <c r="E1271" s="62"/>
      <c r="F1271" s="68"/>
      <c r="G1271" s="68"/>
      <c r="H1271" s="109"/>
    </row>
    <row r="1272" spans="1:8" hidden="1" x14ac:dyDescent="0.3">
      <c r="A1272" s="103"/>
      <c r="B1272" s="105"/>
      <c r="C1272" s="111"/>
      <c r="D1272" s="70"/>
      <c r="E1272" s="62"/>
      <c r="F1272" s="68"/>
      <c r="G1272" s="68"/>
      <c r="H1272" s="109"/>
    </row>
    <row r="1273" spans="1:8" hidden="1" x14ac:dyDescent="0.3">
      <c r="A1273" s="103"/>
      <c r="B1273" s="105"/>
      <c r="C1273" s="111"/>
      <c r="D1273" s="70"/>
      <c r="E1273" s="62"/>
      <c r="F1273" s="68"/>
      <c r="G1273" s="68"/>
      <c r="H1273" s="109"/>
    </row>
    <row r="1274" spans="1:8" hidden="1" x14ac:dyDescent="0.3">
      <c r="A1274" s="103"/>
      <c r="B1274" s="105"/>
      <c r="C1274" s="111"/>
      <c r="D1274" s="70"/>
      <c r="E1274" s="62"/>
      <c r="F1274" s="68"/>
      <c r="G1274" s="68"/>
      <c r="H1274" s="109"/>
    </row>
    <row r="1275" spans="1:8" hidden="1" x14ac:dyDescent="0.3">
      <c r="A1275" s="103"/>
      <c r="B1275" s="105"/>
      <c r="C1275" s="111"/>
      <c r="D1275" s="70"/>
      <c r="E1275" s="62"/>
      <c r="F1275" s="68"/>
      <c r="G1275" s="68"/>
      <c r="H1275" s="109"/>
    </row>
    <row r="1276" spans="1:8" hidden="1" x14ac:dyDescent="0.3">
      <c r="A1276" s="103"/>
      <c r="B1276" s="105"/>
      <c r="C1276" s="111"/>
      <c r="D1276" s="70"/>
      <c r="E1276" s="62"/>
      <c r="F1276" s="68"/>
      <c r="G1276" s="68"/>
      <c r="H1276" s="109"/>
    </row>
    <row r="1277" spans="1:8" hidden="1" x14ac:dyDescent="0.3">
      <c r="A1277" s="103"/>
      <c r="B1277" s="105"/>
      <c r="C1277" s="111"/>
      <c r="D1277" s="70"/>
      <c r="E1277" s="62"/>
      <c r="F1277" s="68"/>
      <c r="G1277" s="68"/>
      <c r="H1277" s="109"/>
    </row>
    <row r="1278" spans="1:8" hidden="1" x14ac:dyDescent="0.3">
      <c r="A1278" s="103"/>
      <c r="B1278" s="105"/>
      <c r="C1278" s="111"/>
      <c r="D1278" s="70"/>
      <c r="E1278" s="62"/>
      <c r="F1278" s="68"/>
      <c r="G1278" s="68"/>
      <c r="H1278" s="109"/>
    </row>
    <row r="1279" spans="1:8" hidden="1" x14ac:dyDescent="0.3">
      <c r="A1279" s="103"/>
      <c r="B1279" s="105"/>
      <c r="C1279" s="111"/>
      <c r="D1279" s="70"/>
      <c r="E1279" s="62"/>
      <c r="F1279" s="68"/>
      <c r="G1279" s="68"/>
      <c r="H1279" s="109"/>
    </row>
    <row r="1280" spans="1:8" hidden="1" x14ac:dyDescent="0.3">
      <c r="A1280" s="103"/>
      <c r="B1280" s="105"/>
      <c r="C1280" s="111"/>
      <c r="D1280" s="70"/>
      <c r="E1280" s="62"/>
      <c r="F1280" s="68"/>
      <c r="G1280" s="68"/>
      <c r="H1280" s="109"/>
    </row>
    <row r="1281" spans="1:8" hidden="1" x14ac:dyDescent="0.3">
      <c r="A1281" s="103"/>
      <c r="B1281" s="105"/>
      <c r="C1281" s="111"/>
      <c r="D1281" s="70"/>
      <c r="E1281" s="62"/>
      <c r="F1281" s="68"/>
      <c r="G1281" s="68"/>
      <c r="H1281" s="109"/>
    </row>
    <row r="1282" spans="1:8" hidden="1" x14ac:dyDescent="0.3">
      <c r="A1282" s="103"/>
      <c r="B1282" s="105"/>
      <c r="C1282" s="111"/>
      <c r="D1282" s="70"/>
      <c r="E1282" s="62"/>
      <c r="F1282" s="68"/>
      <c r="G1282" s="68"/>
      <c r="H1282" s="109"/>
    </row>
    <row r="1283" spans="1:8" hidden="1" x14ac:dyDescent="0.3">
      <c r="A1283" s="103"/>
      <c r="B1283" s="105"/>
      <c r="C1283" s="111"/>
      <c r="D1283" s="70"/>
      <c r="E1283" s="62"/>
      <c r="F1283" s="68"/>
      <c r="G1283" s="68"/>
      <c r="H1283" s="109"/>
    </row>
    <row r="1284" spans="1:8" hidden="1" x14ac:dyDescent="0.3">
      <c r="A1284" s="103"/>
      <c r="B1284" s="105"/>
      <c r="C1284" s="111"/>
      <c r="D1284" s="70"/>
      <c r="E1284" s="62"/>
      <c r="F1284" s="68"/>
      <c r="G1284" s="68"/>
      <c r="H1284" s="109"/>
    </row>
    <row r="1285" spans="1:8" hidden="1" x14ac:dyDescent="0.3">
      <c r="A1285" s="103"/>
      <c r="B1285" s="105"/>
      <c r="C1285" s="111"/>
      <c r="D1285" s="70"/>
      <c r="E1285" s="62"/>
      <c r="F1285" s="68"/>
      <c r="G1285" s="68"/>
      <c r="H1285" s="109"/>
    </row>
    <row r="1286" spans="1:8" hidden="1" x14ac:dyDescent="0.3">
      <c r="A1286" s="103"/>
      <c r="B1286" s="105"/>
      <c r="C1286" s="111"/>
      <c r="D1286" s="70"/>
      <c r="E1286" s="62"/>
      <c r="F1286" s="68"/>
      <c r="G1286" s="68"/>
      <c r="H1286" s="109"/>
    </row>
    <row r="1287" spans="1:8" hidden="1" x14ac:dyDescent="0.3">
      <c r="A1287" s="103"/>
      <c r="B1287" s="105"/>
      <c r="C1287" s="111"/>
      <c r="D1287" s="70"/>
      <c r="E1287" s="62"/>
      <c r="F1287" s="68"/>
      <c r="G1287" s="68"/>
      <c r="H1287" s="109"/>
    </row>
    <row r="1288" spans="1:8" hidden="1" x14ac:dyDescent="0.3">
      <c r="A1288" s="103"/>
      <c r="B1288" s="105"/>
      <c r="C1288" s="111"/>
      <c r="D1288" s="70"/>
      <c r="E1288" s="62"/>
      <c r="F1288" s="68"/>
      <c r="G1288" s="68"/>
      <c r="H1288" s="109"/>
    </row>
    <row r="1289" spans="1:8" hidden="1" x14ac:dyDescent="0.3">
      <c r="A1289" s="103"/>
      <c r="B1289" s="105"/>
      <c r="C1289" s="111"/>
      <c r="D1289" s="70"/>
      <c r="E1289" s="62"/>
      <c r="F1289" s="68"/>
      <c r="G1289" s="68"/>
      <c r="H1289" s="109"/>
    </row>
    <row r="1290" spans="1:8" hidden="1" x14ac:dyDescent="0.3">
      <c r="A1290" s="103"/>
      <c r="B1290" s="105"/>
      <c r="C1290" s="111"/>
      <c r="D1290" s="70"/>
      <c r="E1290" s="62"/>
      <c r="F1290" s="68"/>
      <c r="G1290" s="68"/>
      <c r="H1290" s="109"/>
    </row>
    <row r="1291" spans="1:8" hidden="1" x14ac:dyDescent="0.3">
      <c r="A1291" s="103"/>
      <c r="B1291" s="105"/>
      <c r="C1291" s="111"/>
      <c r="D1291" s="70"/>
      <c r="E1291" s="62"/>
      <c r="F1291" s="68"/>
      <c r="G1291" s="68"/>
      <c r="H1291" s="109"/>
    </row>
    <row r="1292" spans="1:8" hidden="1" x14ac:dyDescent="0.3">
      <c r="A1292" s="103"/>
      <c r="B1292" s="105"/>
      <c r="C1292" s="111"/>
      <c r="D1292" s="70"/>
      <c r="E1292" s="62"/>
      <c r="F1292" s="68"/>
      <c r="G1292" s="68"/>
      <c r="H1292" s="109"/>
    </row>
    <row r="1293" spans="1:8" hidden="1" x14ac:dyDescent="0.3">
      <c r="A1293" s="103"/>
      <c r="B1293" s="105"/>
      <c r="C1293" s="111"/>
      <c r="D1293" s="70"/>
      <c r="E1293" s="62"/>
      <c r="F1293" s="68"/>
      <c r="G1293" s="68"/>
      <c r="H1293" s="109"/>
    </row>
    <row r="1294" spans="1:8" hidden="1" x14ac:dyDescent="0.3">
      <c r="A1294" s="103"/>
      <c r="B1294" s="105"/>
      <c r="C1294" s="111"/>
      <c r="D1294" s="70"/>
      <c r="E1294" s="62"/>
      <c r="F1294" s="68"/>
      <c r="G1294" s="68"/>
      <c r="H1294" s="109"/>
    </row>
    <row r="1295" spans="1:8" hidden="1" x14ac:dyDescent="0.3">
      <c r="A1295" s="103"/>
      <c r="B1295" s="105"/>
      <c r="C1295" s="111"/>
      <c r="D1295" s="70"/>
      <c r="E1295" s="62"/>
      <c r="F1295" s="68"/>
      <c r="G1295" s="68"/>
      <c r="H1295" s="109"/>
    </row>
    <row r="1296" spans="1:8" hidden="1" x14ac:dyDescent="0.3">
      <c r="A1296" s="103"/>
      <c r="B1296" s="105"/>
      <c r="C1296" s="111"/>
      <c r="D1296" s="70"/>
      <c r="E1296" s="62"/>
      <c r="F1296" s="68"/>
      <c r="G1296" s="68"/>
      <c r="H1296" s="109"/>
    </row>
    <row r="1297" spans="1:8" hidden="1" x14ac:dyDescent="0.3">
      <c r="A1297" s="103"/>
      <c r="B1297" s="105"/>
      <c r="C1297" s="111"/>
      <c r="D1297" s="70"/>
      <c r="E1297" s="62"/>
      <c r="F1297" s="68"/>
      <c r="G1297" s="68"/>
      <c r="H1297" s="109"/>
    </row>
    <row r="1298" spans="1:8" hidden="1" x14ac:dyDescent="0.3">
      <c r="A1298" s="103"/>
      <c r="B1298" s="105"/>
      <c r="C1298" s="111"/>
      <c r="D1298" s="70"/>
      <c r="E1298" s="62"/>
      <c r="F1298" s="68"/>
      <c r="G1298" s="68"/>
      <c r="H1298" s="109"/>
    </row>
    <row r="1299" spans="1:8" hidden="1" x14ac:dyDescent="0.3">
      <c r="A1299" s="103"/>
      <c r="B1299" s="105"/>
      <c r="C1299" s="111"/>
      <c r="D1299" s="70"/>
      <c r="E1299" s="62"/>
      <c r="F1299" s="68"/>
      <c r="G1299" s="68"/>
      <c r="H1299" s="109"/>
    </row>
    <row r="1300" spans="1:8" hidden="1" x14ac:dyDescent="0.3">
      <c r="A1300" s="103"/>
      <c r="B1300" s="105"/>
      <c r="C1300" s="111"/>
      <c r="D1300" s="70"/>
      <c r="E1300" s="62"/>
      <c r="F1300" s="68"/>
      <c r="G1300" s="68"/>
      <c r="H1300" s="109"/>
    </row>
    <row r="1301" spans="1:8" hidden="1" x14ac:dyDescent="0.3">
      <c r="A1301" s="103"/>
      <c r="B1301" s="105"/>
      <c r="C1301" s="111"/>
      <c r="D1301" s="70"/>
      <c r="E1301" s="62"/>
      <c r="F1301" s="68"/>
      <c r="G1301" s="68"/>
      <c r="H1301" s="109"/>
    </row>
    <row r="1302" spans="1:8" hidden="1" x14ac:dyDescent="0.3">
      <c r="A1302" s="103"/>
      <c r="B1302" s="105"/>
      <c r="C1302" s="111"/>
      <c r="D1302" s="70"/>
      <c r="E1302" s="62"/>
      <c r="F1302" s="68"/>
      <c r="G1302" s="68"/>
      <c r="H1302" s="109"/>
    </row>
    <row r="1303" spans="1:8" hidden="1" x14ac:dyDescent="0.3">
      <c r="A1303" s="103"/>
      <c r="B1303" s="105"/>
      <c r="C1303" s="111"/>
      <c r="D1303" s="70"/>
      <c r="E1303" s="62"/>
      <c r="F1303" s="68"/>
      <c r="G1303" s="68"/>
      <c r="H1303" s="109"/>
    </row>
    <row r="1304" spans="1:8" hidden="1" x14ac:dyDescent="0.3">
      <c r="A1304" s="103"/>
      <c r="B1304" s="105"/>
      <c r="C1304" s="111"/>
      <c r="D1304" s="70"/>
      <c r="E1304" s="62"/>
      <c r="F1304" s="68"/>
      <c r="G1304" s="68"/>
      <c r="H1304" s="109"/>
    </row>
    <row r="1305" spans="1:8" hidden="1" x14ac:dyDescent="0.3">
      <c r="A1305" s="103"/>
      <c r="B1305" s="105"/>
      <c r="C1305" s="111"/>
      <c r="D1305" s="70"/>
      <c r="E1305" s="62"/>
      <c r="F1305" s="68"/>
      <c r="G1305" s="68"/>
      <c r="H1305" s="109"/>
    </row>
    <row r="1306" spans="1:8" hidden="1" x14ac:dyDescent="0.3">
      <c r="A1306" s="103"/>
      <c r="B1306" s="105"/>
      <c r="C1306" s="111"/>
      <c r="D1306" s="70"/>
      <c r="E1306" s="62"/>
      <c r="F1306" s="68"/>
      <c r="G1306" s="68"/>
      <c r="H1306" s="109"/>
    </row>
    <row r="1307" spans="1:8" hidden="1" x14ac:dyDescent="0.3">
      <c r="A1307" s="103"/>
      <c r="B1307" s="105"/>
      <c r="C1307" s="111"/>
      <c r="D1307" s="70"/>
      <c r="E1307" s="62"/>
      <c r="F1307" s="68"/>
      <c r="G1307" s="68"/>
      <c r="H1307" s="109"/>
    </row>
    <row r="1308" spans="1:8" hidden="1" x14ac:dyDescent="0.3">
      <c r="A1308" s="103"/>
      <c r="B1308" s="105"/>
      <c r="C1308" s="111"/>
      <c r="D1308" s="70"/>
      <c r="E1308" s="62"/>
      <c r="F1308" s="68"/>
      <c r="G1308" s="68"/>
      <c r="H1308" s="109"/>
    </row>
    <row r="1309" spans="1:8" hidden="1" x14ac:dyDescent="0.3">
      <c r="A1309" s="103"/>
      <c r="B1309" s="105"/>
      <c r="C1309" s="111"/>
      <c r="D1309" s="70"/>
      <c r="E1309" s="62"/>
      <c r="F1309" s="68"/>
      <c r="G1309" s="68"/>
      <c r="H1309" s="109"/>
    </row>
    <row r="1310" spans="1:8" hidden="1" x14ac:dyDescent="0.3">
      <c r="A1310" s="103"/>
      <c r="B1310" s="105"/>
      <c r="C1310" s="111"/>
      <c r="D1310" s="70"/>
      <c r="E1310" s="62"/>
      <c r="F1310" s="68"/>
      <c r="G1310" s="68"/>
      <c r="H1310" s="109"/>
    </row>
    <row r="1311" spans="1:8" hidden="1" x14ac:dyDescent="0.3">
      <c r="A1311" s="103"/>
      <c r="B1311" s="105"/>
      <c r="C1311" s="111"/>
      <c r="D1311" s="70"/>
      <c r="E1311" s="62"/>
      <c r="F1311" s="68"/>
      <c r="G1311" s="68"/>
      <c r="H1311" s="109"/>
    </row>
    <row r="1312" spans="1:8" hidden="1" x14ac:dyDescent="0.3">
      <c r="A1312" s="103"/>
      <c r="B1312" s="105"/>
      <c r="C1312" s="111"/>
      <c r="D1312" s="70"/>
      <c r="E1312" s="62"/>
      <c r="F1312" s="68"/>
      <c r="G1312" s="68"/>
      <c r="H1312" s="109"/>
    </row>
    <row r="1313" spans="1:8" hidden="1" x14ac:dyDescent="0.3">
      <c r="A1313" s="103"/>
      <c r="B1313" s="105"/>
      <c r="C1313" s="111"/>
      <c r="D1313" s="70"/>
      <c r="E1313" s="62"/>
      <c r="F1313" s="68"/>
      <c r="G1313" s="68"/>
      <c r="H1313" s="109"/>
    </row>
    <row r="1314" spans="1:8" hidden="1" x14ac:dyDescent="0.3">
      <c r="A1314" s="103"/>
      <c r="B1314" s="105"/>
      <c r="C1314" s="111"/>
      <c r="D1314" s="70"/>
      <c r="E1314" s="62"/>
      <c r="F1314" s="68"/>
      <c r="G1314" s="68"/>
      <c r="H1314" s="109"/>
    </row>
    <row r="1315" spans="1:8" hidden="1" x14ac:dyDescent="0.3">
      <c r="A1315" s="103"/>
      <c r="B1315" s="105"/>
      <c r="C1315" s="111"/>
      <c r="D1315" s="70"/>
      <c r="E1315" s="62"/>
      <c r="F1315" s="68"/>
      <c r="G1315" s="68"/>
      <c r="H1315" s="109"/>
    </row>
    <row r="1316" spans="1:8" hidden="1" x14ac:dyDescent="0.3">
      <c r="A1316" s="103"/>
      <c r="B1316" s="105"/>
      <c r="C1316" s="111"/>
      <c r="D1316" s="70"/>
      <c r="E1316" s="62"/>
      <c r="F1316" s="68"/>
      <c r="G1316" s="68"/>
      <c r="H1316" s="109"/>
    </row>
    <row r="1317" spans="1:8" hidden="1" x14ac:dyDescent="0.3">
      <c r="A1317" s="103"/>
      <c r="B1317" s="105"/>
      <c r="C1317" s="111"/>
      <c r="D1317" s="70"/>
      <c r="E1317" s="62"/>
      <c r="F1317" s="68"/>
      <c r="G1317" s="68"/>
      <c r="H1317" s="109"/>
    </row>
    <row r="1318" spans="1:8" hidden="1" x14ac:dyDescent="0.3">
      <c r="A1318" s="103"/>
      <c r="B1318" s="105"/>
      <c r="C1318" s="111"/>
      <c r="D1318" s="70"/>
      <c r="E1318" s="62"/>
      <c r="F1318" s="68"/>
      <c r="G1318" s="68"/>
      <c r="H1318" s="109"/>
    </row>
    <row r="1319" spans="1:8" hidden="1" x14ac:dyDescent="0.3">
      <c r="A1319" s="103"/>
      <c r="B1319" s="105"/>
      <c r="C1319" s="111"/>
      <c r="D1319" s="70"/>
      <c r="E1319" s="62"/>
      <c r="F1319" s="68"/>
      <c r="G1319" s="68"/>
      <c r="H1319" s="109"/>
    </row>
    <row r="1320" spans="1:8" hidden="1" x14ac:dyDescent="0.3">
      <c r="A1320" s="103"/>
      <c r="B1320" s="105"/>
      <c r="C1320" s="111"/>
      <c r="D1320" s="70"/>
      <c r="E1320" s="62"/>
      <c r="F1320" s="68"/>
      <c r="G1320" s="68"/>
      <c r="H1320" s="109"/>
    </row>
    <row r="1321" spans="1:8" hidden="1" x14ac:dyDescent="0.3">
      <c r="A1321" s="103"/>
      <c r="B1321" s="105"/>
      <c r="C1321" s="111"/>
      <c r="D1321" s="70"/>
      <c r="E1321" s="62"/>
      <c r="F1321" s="68"/>
      <c r="G1321" s="68"/>
      <c r="H1321" s="109"/>
    </row>
    <row r="1322" spans="1:8" hidden="1" x14ac:dyDescent="0.3">
      <c r="A1322" s="103"/>
      <c r="B1322" s="105"/>
      <c r="C1322" s="111"/>
      <c r="D1322" s="70"/>
      <c r="E1322" s="62"/>
      <c r="F1322" s="68"/>
      <c r="G1322" s="68"/>
      <c r="H1322" s="109"/>
    </row>
    <row r="1323" spans="1:8" hidden="1" x14ac:dyDescent="0.3">
      <c r="A1323" s="103"/>
      <c r="B1323" s="105"/>
      <c r="C1323" s="111"/>
      <c r="D1323" s="70"/>
      <c r="E1323" s="62"/>
      <c r="F1323" s="68"/>
      <c r="G1323" s="68"/>
      <c r="H1323" s="109"/>
    </row>
    <row r="1324" spans="1:8" hidden="1" x14ac:dyDescent="0.3">
      <c r="A1324" s="103"/>
      <c r="B1324" s="105"/>
      <c r="C1324" s="111"/>
      <c r="D1324" s="70"/>
      <c r="E1324" s="62"/>
      <c r="F1324" s="68"/>
      <c r="G1324" s="68"/>
      <c r="H1324" s="109"/>
    </row>
    <row r="1325" spans="1:8" hidden="1" x14ac:dyDescent="0.3">
      <c r="A1325" s="103"/>
      <c r="B1325" s="105"/>
      <c r="C1325" s="111"/>
      <c r="D1325" s="70"/>
      <c r="E1325" s="62"/>
      <c r="F1325" s="68"/>
      <c r="G1325" s="68"/>
      <c r="H1325" s="109"/>
    </row>
    <row r="1326" spans="1:8" hidden="1" x14ac:dyDescent="0.3">
      <c r="A1326" s="103"/>
      <c r="B1326" s="105"/>
      <c r="C1326" s="111"/>
      <c r="D1326" s="70"/>
      <c r="E1326" s="62"/>
      <c r="F1326" s="68"/>
      <c r="G1326" s="68"/>
      <c r="H1326" s="109"/>
    </row>
    <row r="1327" spans="1:8" hidden="1" x14ac:dyDescent="0.3">
      <c r="A1327" s="103"/>
      <c r="B1327" s="105"/>
      <c r="C1327" s="111"/>
      <c r="D1327" s="70"/>
      <c r="E1327" s="62"/>
      <c r="F1327" s="68"/>
      <c r="G1327" s="68"/>
      <c r="H1327" s="109"/>
    </row>
    <row r="1328" spans="1:8" hidden="1" x14ac:dyDescent="0.3">
      <c r="A1328" s="103"/>
      <c r="B1328" s="105"/>
      <c r="C1328" s="111"/>
      <c r="D1328" s="70"/>
      <c r="E1328" s="62"/>
      <c r="F1328" s="68"/>
      <c r="G1328" s="68"/>
      <c r="H1328" s="109"/>
    </row>
    <row r="1329" spans="1:8" hidden="1" x14ac:dyDescent="0.3">
      <c r="A1329" s="103"/>
      <c r="B1329" s="105"/>
      <c r="C1329" s="111"/>
      <c r="D1329" s="70"/>
      <c r="E1329" s="62"/>
      <c r="F1329" s="68"/>
      <c r="G1329" s="68"/>
      <c r="H1329" s="109"/>
    </row>
    <row r="1330" spans="1:8" hidden="1" x14ac:dyDescent="0.3">
      <c r="A1330" s="103"/>
      <c r="B1330" s="105"/>
      <c r="C1330" s="111"/>
      <c r="D1330" s="70"/>
      <c r="E1330" s="62"/>
      <c r="F1330" s="68"/>
      <c r="G1330" s="68"/>
      <c r="H1330" s="109"/>
    </row>
    <row r="1331" spans="1:8" hidden="1" x14ac:dyDescent="0.3">
      <c r="A1331" s="103"/>
      <c r="B1331" s="105"/>
      <c r="C1331" s="111"/>
      <c r="D1331" s="70"/>
      <c r="E1331" s="62"/>
      <c r="F1331" s="68"/>
      <c r="G1331" s="68"/>
      <c r="H1331" s="109"/>
    </row>
    <row r="1332" spans="1:8" hidden="1" x14ac:dyDescent="0.3">
      <c r="A1332" s="103"/>
      <c r="B1332" s="105"/>
      <c r="C1332" s="111"/>
      <c r="D1332" s="70"/>
      <c r="E1332" s="62"/>
      <c r="F1332" s="68"/>
      <c r="G1332" s="68"/>
      <c r="H1332" s="109"/>
    </row>
    <row r="1333" spans="1:8" hidden="1" x14ac:dyDescent="0.3">
      <c r="A1333" s="103"/>
      <c r="B1333" s="105"/>
      <c r="C1333" s="111"/>
      <c r="D1333" s="70"/>
      <c r="E1333" s="62"/>
      <c r="F1333" s="68"/>
      <c r="G1333" s="68"/>
      <c r="H1333" s="109"/>
    </row>
    <row r="1334" spans="1:8" hidden="1" x14ac:dyDescent="0.3">
      <c r="A1334" s="103"/>
      <c r="B1334" s="105"/>
      <c r="C1334" s="111"/>
      <c r="D1334" s="70"/>
      <c r="E1334" s="62"/>
      <c r="F1334" s="68"/>
      <c r="G1334" s="68"/>
      <c r="H1334" s="109"/>
    </row>
    <row r="1335" spans="1:8" hidden="1" x14ac:dyDescent="0.3">
      <c r="A1335" s="103"/>
      <c r="B1335" s="105"/>
      <c r="C1335" s="111"/>
      <c r="D1335" s="70"/>
      <c r="E1335" s="62"/>
      <c r="F1335" s="68"/>
      <c r="G1335" s="68"/>
      <c r="H1335" s="109"/>
    </row>
    <row r="1336" spans="1:8" hidden="1" x14ac:dyDescent="0.3">
      <c r="A1336" s="103"/>
      <c r="B1336" s="105"/>
      <c r="C1336" s="111"/>
      <c r="D1336" s="70"/>
      <c r="E1336" s="62"/>
      <c r="F1336" s="68"/>
      <c r="G1336" s="68"/>
      <c r="H1336" s="109"/>
    </row>
    <row r="1337" spans="1:8" hidden="1" x14ac:dyDescent="0.3">
      <c r="A1337" s="103"/>
      <c r="B1337" s="105"/>
      <c r="C1337" s="111"/>
      <c r="D1337" s="70"/>
      <c r="E1337" s="62"/>
      <c r="F1337" s="68"/>
      <c r="G1337" s="68"/>
      <c r="H1337" s="109"/>
    </row>
    <row r="1338" spans="1:8" hidden="1" x14ac:dyDescent="0.3">
      <c r="A1338" s="103"/>
      <c r="B1338" s="105"/>
      <c r="C1338" s="111"/>
      <c r="D1338" s="70"/>
      <c r="E1338" s="62"/>
      <c r="F1338" s="68"/>
      <c r="G1338" s="68"/>
      <c r="H1338" s="109"/>
    </row>
    <row r="1339" spans="1:8" hidden="1" x14ac:dyDescent="0.3">
      <c r="A1339" s="103"/>
      <c r="B1339" s="105"/>
      <c r="C1339" s="111"/>
      <c r="D1339" s="70"/>
      <c r="E1339" s="62"/>
      <c r="F1339" s="68"/>
      <c r="G1339" s="68"/>
      <c r="H1339" s="109"/>
    </row>
    <row r="1340" spans="1:8" hidden="1" x14ac:dyDescent="0.3">
      <c r="A1340" s="103"/>
      <c r="B1340" s="105"/>
      <c r="C1340" s="111"/>
      <c r="D1340" s="70"/>
      <c r="E1340" s="62"/>
      <c r="F1340" s="68"/>
      <c r="G1340" s="68"/>
      <c r="H1340" s="109"/>
    </row>
    <row r="1341" spans="1:8" hidden="1" x14ac:dyDescent="0.3">
      <c r="A1341" s="103"/>
      <c r="B1341" s="105"/>
      <c r="C1341" s="111"/>
      <c r="D1341" s="70"/>
      <c r="E1341" s="62"/>
      <c r="F1341" s="68"/>
      <c r="G1341" s="68"/>
      <c r="H1341" s="109"/>
    </row>
    <row r="1342" spans="1:8" hidden="1" x14ac:dyDescent="0.3">
      <c r="A1342" s="103"/>
      <c r="B1342" s="105"/>
      <c r="C1342" s="111"/>
      <c r="D1342" s="70"/>
      <c r="E1342" s="62"/>
      <c r="F1342" s="68"/>
      <c r="G1342" s="68"/>
      <c r="H1342" s="109"/>
    </row>
    <row r="1343" spans="1:8" hidden="1" x14ac:dyDescent="0.3">
      <c r="A1343" s="103"/>
      <c r="B1343" s="105"/>
      <c r="C1343" s="111"/>
      <c r="D1343" s="70"/>
      <c r="E1343" s="62"/>
      <c r="F1343" s="68"/>
      <c r="G1343" s="68"/>
      <c r="H1343" s="109"/>
    </row>
    <row r="1344" spans="1:8" hidden="1" x14ac:dyDescent="0.3">
      <c r="A1344" s="103"/>
      <c r="B1344" s="105"/>
      <c r="C1344" s="111"/>
      <c r="D1344" s="70"/>
      <c r="E1344" s="62"/>
      <c r="F1344" s="68"/>
      <c r="G1344" s="68"/>
      <c r="H1344" s="109"/>
    </row>
    <row r="1345" spans="1:8" hidden="1" x14ac:dyDescent="0.3">
      <c r="A1345" s="103"/>
      <c r="B1345" s="105"/>
      <c r="C1345" s="111"/>
      <c r="D1345" s="70"/>
      <c r="E1345" s="62"/>
      <c r="F1345" s="68"/>
      <c r="G1345" s="68"/>
      <c r="H1345" s="109"/>
    </row>
    <row r="1346" spans="1:8" hidden="1" x14ac:dyDescent="0.3">
      <c r="A1346" s="103"/>
      <c r="B1346" s="105"/>
      <c r="C1346" s="111"/>
      <c r="D1346" s="70"/>
      <c r="E1346" s="62"/>
      <c r="F1346" s="68"/>
      <c r="G1346" s="68"/>
      <c r="H1346" s="109"/>
    </row>
    <row r="1347" spans="1:8" hidden="1" x14ac:dyDescent="0.3">
      <c r="A1347" s="103"/>
      <c r="B1347" s="105"/>
      <c r="C1347" s="111"/>
      <c r="D1347" s="70"/>
      <c r="E1347" s="62"/>
      <c r="F1347" s="68"/>
      <c r="G1347" s="68"/>
      <c r="H1347" s="109"/>
    </row>
    <row r="1348" spans="1:8" hidden="1" x14ac:dyDescent="0.3">
      <c r="A1348" s="103"/>
      <c r="B1348" s="105"/>
      <c r="C1348" s="111"/>
      <c r="D1348" s="70"/>
      <c r="E1348" s="62"/>
      <c r="F1348" s="68"/>
      <c r="G1348" s="68"/>
      <c r="H1348" s="109"/>
    </row>
    <row r="1349" spans="1:8" hidden="1" x14ac:dyDescent="0.3">
      <c r="A1349" s="103"/>
      <c r="B1349" s="105"/>
      <c r="C1349" s="111"/>
      <c r="D1349" s="70"/>
      <c r="E1349" s="62"/>
      <c r="F1349" s="68"/>
      <c r="G1349" s="68"/>
      <c r="H1349" s="109"/>
    </row>
    <row r="1350" spans="1:8" hidden="1" x14ac:dyDescent="0.3">
      <c r="A1350" s="103"/>
      <c r="B1350" s="105"/>
      <c r="C1350" s="111"/>
      <c r="D1350" s="70"/>
      <c r="E1350" s="62"/>
      <c r="F1350" s="68"/>
      <c r="G1350" s="68"/>
      <c r="H1350" s="109"/>
    </row>
    <row r="1351" spans="1:8" hidden="1" x14ac:dyDescent="0.3">
      <c r="A1351" s="103"/>
      <c r="B1351" s="105"/>
      <c r="C1351" s="111"/>
      <c r="D1351" s="70"/>
      <c r="E1351" s="62"/>
      <c r="F1351" s="68"/>
      <c r="G1351" s="68"/>
      <c r="H1351" s="109"/>
    </row>
    <row r="1352" spans="1:8" hidden="1" x14ac:dyDescent="0.3">
      <c r="A1352" s="103"/>
      <c r="B1352" s="105"/>
      <c r="C1352" s="111"/>
      <c r="D1352" s="70"/>
      <c r="E1352" s="62"/>
      <c r="F1352" s="68"/>
      <c r="G1352" s="68"/>
      <c r="H1352" s="109"/>
    </row>
    <row r="1353" spans="1:8" hidden="1" x14ac:dyDescent="0.3">
      <c r="A1353" s="103"/>
      <c r="B1353" s="105"/>
      <c r="C1353" s="111"/>
      <c r="D1353" s="70"/>
      <c r="E1353" s="62"/>
      <c r="F1353" s="68"/>
      <c r="G1353" s="68"/>
      <c r="H1353" s="109"/>
    </row>
    <row r="1354" spans="1:8" hidden="1" x14ac:dyDescent="0.3">
      <c r="A1354" s="103"/>
      <c r="B1354" s="105"/>
      <c r="C1354" s="111"/>
      <c r="D1354" s="70"/>
      <c r="E1354" s="62"/>
      <c r="F1354" s="68"/>
      <c r="G1354" s="68"/>
      <c r="H1354" s="109"/>
    </row>
    <row r="1355" spans="1:8" hidden="1" x14ac:dyDescent="0.3">
      <c r="A1355" s="103"/>
      <c r="B1355" s="105"/>
      <c r="C1355" s="111"/>
      <c r="D1355" s="70"/>
      <c r="E1355" s="62"/>
      <c r="F1355" s="68"/>
      <c r="G1355" s="68"/>
      <c r="H1355" s="109"/>
    </row>
    <row r="1356" spans="1:8" hidden="1" x14ac:dyDescent="0.3">
      <c r="A1356" s="103"/>
      <c r="B1356" s="105"/>
      <c r="C1356" s="111"/>
      <c r="D1356" s="70"/>
      <c r="E1356" s="62"/>
      <c r="F1356" s="68"/>
      <c r="G1356" s="68"/>
      <c r="H1356" s="109"/>
    </row>
    <row r="1357" spans="1:8" hidden="1" x14ac:dyDescent="0.3">
      <c r="A1357" s="103"/>
      <c r="B1357" s="105"/>
      <c r="C1357" s="111"/>
      <c r="D1357" s="70"/>
      <c r="E1357" s="62"/>
      <c r="F1357" s="68"/>
      <c r="G1357" s="68"/>
      <c r="H1357" s="109"/>
    </row>
    <row r="1358" spans="1:8" hidden="1" x14ac:dyDescent="0.3">
      <c r="A1358" s="103"/>
      <c r="B1358" s="105"/>
      <c r="C1358" s="111"/>
      <c r="D1358" s="70"/>
      <c r="E1358" s="62"/>
      <c r="F1358" s="68"/>
      <c r="G1358" s="68"/>
      <c r="H1358" s="109"/>
    </row>
    <row r="1359" spans="1:8" hidden="1" x14ac:dyDescent="0.3">
      <c r="A1359" s="103"/>
      <c r="B1359" s="105"/>
      <c r="C1359" s="111"/>
      <c r="D1359" s="70"/>
      <c r="E1359" s="62"/>
      <c r="F1359" s="68"/>
      <c r="G1359" s="68"/>
      <c r="H1359" s="109"/>
    </row>
    <row r="1360" spans="1:8" hidden="1" x14ac:dyDescent="0.3">
      <c r="A1360" s="103"/>
      <c r="B1360" s="105"/>
      <c r="C1360" s="111"/>
      <c r="D1360" s="70"/>
      <c r="E1360" s="62"/>
      <c r="F1360" s="68"/>
      <c r="G1360" s="68"/>
      <c r="H1360" s="109"/>
    </row>
    <row r="1361" spans="1:8" hidden="1" x14ac:dyDescent="0.3">
      <c r="A1361" s="103"/>
      <c r="B1361" s="105"/>
      <c r="C1361" s="111"/>
      <c r="D1361" s="70"/>
      <c r="E1361" s="62"/>
      <c r="F1361" s="68"/>
      <c r="G1361" s="68"/>
      <c r="H1361" s="109"/>
    </row>
    <row r="1362" spans="1:8" hidden="1" x14ac:dyDescent="0.3">
      <c r="A1362" s="103"/>
      <c r="B1362" s="105"/>
      <c r="C1362" s="111"/>
      <c r="D1362" s="70"/>
      <c r="E1362" s="62"/>
      <c r="F1362" s="68"/>
      <c r="G1362" s="68"/>
      <c r="H1362" s="109"/>
    </row>
    <row r="1363" spans="1:8" hidden="1" x14ac:dyDescent="0.3">
      <c r="A1363" s="103"/>
      <c r="B1363" s="105"/>
      <c r="C1363" s="111"/>
      <c r="D1363" s="70"/>
      <c r="E1363" s="62"/>
      <c r="F1363" s="68"/>
      <c r="G1363" s="68"/>
      <c r="H1363" s="109"/>
    </row>
    <row r="1364" spans="1:8" hidden="1" x14ac:dyDescent="0.3">
      <c r="A1364" s="103"/>
      <c r="B1364" s="105"/>
      <c r="C1364" s="111"/>
      <c r="D1364" s="70"/>
      <c r="E1364" s="62"/>
      <c r="F1364" s="68"/>
      <c r="G1364" s="68"/>
      <c r="H1364" s="109"/>
    </row>
    <row r="1365" spans="1:8" hidden="1" x14ac:dyDescent="0.3">
      <c r="A1365" s="103"/>
      <c r="B1365" s="105"/>
      <c r="C1365" s="111"/>
      <c r="D1365" s="70"/>
      <c r="E1365" s="62"/>
      <c r="F1365" s="68"/>
      <c r="G1365" s="68"/>
      <c r="H1365" s="109"/>
    </row>
    <row r="1366" spans="1:8" hidden="1" x14ac:dyDescent="0.3">
      <c r="A1366" s="103"/>
      <c r="B1366" s="105"/>
      <c r="C1366" s="111"/>
      <c r="D1366" s="70"/>
      <c r="E1366" s="62"/>
      <c r="F1366" s="68"/>
      <c r="G1366" s="68"/>
      <c r="H1366" s="109"/>
    </row>
    <row r="1367" spans="1:8" hidden="1" x14ac:dyDescent="0.3">
      <c r="A1367" s="103"/>
      <c r="B1367" s="105"/>
      <c r="C1367" s="111"/>
      <c r="D1367" s="70"/>
      <c r="E1367" s="62"/>
      <c r="F1367" s="68"/>
      <c r="G1367" s="68"/>
      <c r="H1367" s="109"/>
    </row>
    <row r="1368" spans="1:8" hidden="1" x14ac:dyDescent="0.3">
      <c r="A1368" s="103"/>
      <c r="B1368" s="105"/>
      <c r="C1368" s="111"/>
      <c r="D1368" s="70"/>
      <c r="E1368" s="62"/>
      <c r="F1368" s="68"/>
      <c r="G1368" s="68"/>
      <c r="H1368" s="109"/>
    </row>
    <row r="1369" spans="1:8" hidden="1" x14ac:dyDescent="0.3">
      <c r="A1369" s="103"/>
      <c r="B1369" s="105"/>
      <c r="C1369" s="111"/>
      <c r="D1369" s="70"/>
      <c r="E1369" s="62"/>
      <c r="F1369" s="68"/>
      <c r="G1369" s="68"/>
      <c r="H1369" s="109"/>
    </row>
    <row r="1370" spans="1:8" hidden="1" x14ac:dyDescent="0.3">
      <c r="A1370" s="103"/>
      <c r="B1370" s="105"/>
      <c r="C1370" s="111"/>
      <c r="D1370" s="70"/>
      <c r="E1370" s="62"/>
      <c r="F1370" s="68"/>
      <c r="G1370" s="68"/>
      <c r="H1370" s="109"/>
    </row>
    <row r="1371" spans="1:8" hidden="1" x14ac:dyDescent="0.3">
      <c r="A1371" s="103"/>
      <c r="B1371" s="105"/>
      <c r="C1371" s="111"/>
      <c r="D1371" s="70"/>
      <c r="E1371" s="62"/>
      <c r="F1371" s="68"/>
      <c r="G1371" s="68"/>
      <c r="H1371" s="109"/>
    </row>
    <row r="1372" spans="1:8" hidden="1" x14ac:dyDescent="0.3">
      <c r="A1372" s="103"/>
      <c r="B1372" s="105"/>
      <c r="C1372" s="111"/>
      <c r="D1372" s="70"/>
      <c r="E1372" s="62"/>
      <c r="F1372" s="68"/>
      <c r="G1372" s="68"/>
      <c r="H1372" s="109"/>
    </row>
    <row r="1373" spans="1:8" hidden="1" x14ac:dyDescent="0.3">
      <c r="A1373" s="103"/>
      <c r="B1373" s="105"/>
      <c r="C1373" s="111"/>
      <c r="D1373" s="70"/>
      <c r="E1373" s="62"/>
      <c r="F1373" s="68"/>
      <c r="G1373" s="68"/>
      <c r="H1373" s="109"/>
    </row>
    <row r="1374" spans="1:8" hidden="1" x14ac:dyDescent="0.3">
      <c r="A1374" s="103"/>
      <c r="B1374" s="105"/>
      <c r="C1374" s="111"/>
      <c r="D1374" s="70"/>
      <c r="E1374" s="62"/>
      <c r="F1374" s="68"/>
      <c r="G1374" s="68"/>
      <c r="H1374" s="109"/>
    </row>
    <row r="1375" spans="1:8" hidden="1" x14ac:dyDescent="0.3">
      <c r="A1375" s="103"/>
      <c r="B1375" s="105"/>
      <c r="C1375" s="111"/>
      <c r="D1375" s="70"/>
      <c r="E1375" s="62"/>
      <c r="F1375" s="68"/>
      <c r="G1375" s="68"/>
      <c r="H1375" s="109"/>
    </row>
    <row r="1376" spans="1:8" hidden="1" x14ac:dyDescent="0.3">
      <c r="A1376" s="103"/>
      <c r="B1376" s="105"/>
      <c r="C1376" s="111"/>
      <c r="D1376" s="70"/>
      <c r="E1376" s="62"/>
      <c r="F1376" s="68"/>
      <c r="G1376" s="68"/>
      <c r="H1376" s="109"/>
    </row>
    <row r="1377" spans="1:8" hidden="1" x14ac:dyDescent="0.3">
      <c r="A1377" s="103"/>
      <c r="B1377" s="105"/>
      <c r="C1377" s="111"/>
      <c r="D1377" s="70"/>
      <c r="E1377" s="62"/>
      <c r="F1377" s="68"/>
      <c r="G1377" s="68"/>
      <c r="H1377" s="109"/>
    </row>
    <row r="1378" spans="1:8" hidden="1" x14ac:dyDescent="0.3">
      <c r="A1378" s="103"/>
      <c r="B1378" s="105"/>
      <c r="C1378" s="111"/>
      <c r="D1378" s="70"/>
      <c r="E1378" s="62"/>
      <c r="F1378" s="68"/>
      <c r="G1378" s="68"/>
      <c r="H1378" s="109"/>
    </row>
    <row r="1379" spans="1:8" hidden="1" x14ac:dyDescent="0.3">
      <c r="A1379" s="103"/>
      <c r="B1379" s="105"/>
      <c r="C1379" s="111"/>
      <c r="D1379" s="70"/>
      <c r="E1379" s="62"/>
      <c r="F1379" s="68"/>
      <c r="G1379" s="68"/>
      <c r="H1379" s="109"/>
    </row>
    <row r="1380" spans="1:8" hidden="1" x14ac:dyDescent="0.3">
      <c r="A1380" s="103"/>
      <c r="B1380" s="105"/>
      <c r="C1380" s="111"/>
      <c r="D1380" s="70"/>
      <c r="E1380" s="62"/>
      <c r="F1380" s="68"/>
      <c r="G1380" s="68"/>
      <c r="H1380" s="109"/>
    </row>
    <row r="1381" spans="1:8" hidden="1" x14ac:dyDescent="0.3">
      <c r="A1381" s="103"/>
      <c r="B1381" s="105"/>
      <c r="C1381" s="111"/>
      <c r="D1381" s="70"/>
      <c r="E1381" s="62"/>
      <c r="F1381" s="68"/>
      <c r="G1381" s="68"/>
      <c r="H1381" s="109"/>
    </row>
    <row r="1382" spans="1:8" hidden="1" x14ac:dyDescent="0.3">
      <c r="A1382" s="103"/>
      <c r="B1382" s="105"/>
      <c r="C1382" s="111"/>
      <c r="D1382" s="70"/>
      <c r="E1382" s="62"/>
      <c r="F1382" s="68"/>
      <c r="G1382" s="68"/>
      <c r="H1382" s="109"/>
    </row>
    <row r="1383" spans="1:8" hidden="1" x14ac:dyDescent="0.3">
      <c r="A1383" s="103"/>
      <c r="B1383" s="105"/>
      <c r="C1383" s="111"/>
      <c r="D1383" s="70"/>
      <c r="E1383" s="62"/>
      <c r="F1383" s="68"/>
      <c r="G1383" s="68"/>
      <c r="H1383" s="109"/>
    </row>
    <row r="1384" spans="1:8" hidden="1" x14ac:dyDescent="0.3">
      <c r="A1384" s="103"/>
      <c r="B1384" s="105"/>
      <c r="C1384" s="111"/>
      <c r="D1384" s="70"/>
      <c r="E1384" s="62"/>
      <c r="F1384" s="68"/>
      <c r="G1384" s="68"/>
      <c r="H1384" s="109"/>
    </row>
    <row r="1385" spans="1:8" hidden="1" x14ac:dyDescent="0.3">
      <c r="A1385" s="103"/>
      <c r="B1385" s="105"/>
      <c r="C1385" s="111"/>
      <c r="D1385" s="70"/>
      <c r="E1385" s="62"/>
      <c r="F1385" s="68"/>
      <c r="G1385" s="68"/>
      <c r="H1385" s="109"/>
    </row>
    <row r="1386" spans="1:8" hidden="1" x14ac:dyDescent="0.3">
      <c r="A1386" s="103"/>
      <c r="B1386" s="105"/>
      <c r="C1386" s="111"/>
      <c r="D1386" s="70"/>
      <c r="E1386" s="62"/>
      <c r="F1386" s="68"/>
      <c r="G1386" s="68"/>
      <c r="H1386" s="109"/>
    </row>
    <row r="1387" spans="1:8" hidden="1" x14ac:dyDescent="0.3">
      <c r="A1387" s="103"/>
      <c r="B1387" s="105"/>
      <c r="C1387" s="111"/>
      <c r="D1387" s="70"/>
      <c r="E1387" s="62"/>
      <c r="F1387" s="68"/>
      <c r="G1387" s="68"/>
      <c r="H1387" s="109"/>
    </row>
    <row r="1388" spans="1:8" hidden="1" x14ac:dyDescent="0.3">
      <c r="A1388" s="103"/>
      <c r="B1388" s="105"/>
      <c r="C1388" s="111"/>
      <c r="D1388" s="70"/>
      <c r="E1388" s="62"/>
      <c r="F1388" s="68"/>
      <c r="G1388" s="68"/>
      <c r="H1388" s="109"/>
    </row>
    <row r="1389" spans="1:8" hidden="1" x14ac:dyDescent="0.3">
      <c r="A1389" s="103"/>
      <c r="B1389" s="105"/>
      <c r="C1389" s="111"/>
      <c r="D1389" s="70"/>
      <c r="E1389" s="62"/>
      <c r="F1389" s="68"/>
      <c r="G1389" s="68"/>
      <c r="H1389" s="109"/>
    </row>
    <row r="1390" spans="1:8" hidden="1" x14ac:dyDescent="0.3">
      <c r="A1390" s="103"/>
      <c r="B1390" s="105"/>
      <c r="C1390" s="111"/>
      <c r="D1390" s="70"/>
      <c r="E1390" s="62"/>
      <c r="F1390" s="68"/>
      <c r="G1390" s="68"/>
      <c r="H1390" s="109"/>
    </row>
    <row r="1391" spans="1:8" hidden="1" x14ac:dyDescent="0.3">
      <c r="A1391" s="103"/>
      <c r="B1391" s="105"/>
      <c r="C1391" s="111"/>
      <c r="D1391" s="70"/>
      <c r="E1391" s="62"/>
      <c r="F1391" s="68"/>
      <c r="G1391" s="68"/>
      <c r="H1391" s="109"/>
    </row>
    <row r="1392" spans="1:8" hidden="1" x14ac:dyDescent="0.3">
      <c r="A1392" s="103"/>
      <c r="B1392" s="105"/>
      <c r="C1392" s="111"/>
      <c r="D1392" s="70"/>
      <c r="E1392" s="62"/>
      <c r="F1392" s="68"/>
      <c r="G1392" s="68"/>
      <c r="H1392" s="109"/>
    </row>
    <row r="1393" spans="1:8" hidden="1" x14ac:dyDescent="0.3">
      <c r="A1393" s="103"/>
      <c r="B1393" s="105"/>
      <c r="C1393" s="111"/>
      <c r="D1393" s="70"/>
      <c r="E1393" s="62"/>
      <c r="F1393" s="68"/>
      <c r="G1393" s="68"/>
      <c r="H1393" s="109"/>
    </row>
    <row r="1394" spans="1:8" hidden="1" x14ac:dyDescent="0.3">
      <c r="A1394" s="103"/>
      <c r="B1394" s="105"/>
      <c r="C1394" s="111"/>
      <c r="D1394" s="70"/>
      <c r="E1394" s="62"/>
      <c r="F1394" s="68"/>
      <c r="G1394" s="68"/>
      <c r="H1394" s="109"/>
    </row>
    <row r="1395" spans="1:8" hidden="1" x14ac:dyDescent="0.3">
      <c r="A1395" s="103"/>
      <c r="B1395" s="105"/>
      <c r="C1395" s="111"/>
      <c r="D1395" s="70"/>
      <c r="E1395" s="62"/>
      <c r="F1395" s="68"/>
      <c r="G1395" s="68"/>
      <c r="H1395" s="109"/>
    </row>
    <row r="1396" spans="1:8" hidden="1" x14ac:dyDescent="0.3">
      <c r="A1396" s="103"/>
      <c r="B1396" s="105"/>
      <c r="C1396" s="111"/>
      <c r="D1396" s="70"/>
      <c r="E1396" s="62"/>
      <c r="F1396" s="68"/>
      <c r="G1396" s="68"/>
      <c r="H1396" s="109"/>
    </row>
    <row r="1397" spans="1:8" hidden="1" x14ac:dyDescent="0.3">
      <c r="A1397" s="103"/>
      <c r="B1397" s="105"/>
      <c r="C1397" s="111"/>
      <c r="D1397" s="70"/>
      <c r="E1397" s="62"/>
      <c r="F1397" s="68"/>
      <c r="G1397" s="68"/>
      <c r="H1397" s="109"/>
    </row>
    <row r="1398" spans="1:8" hidden="1" x14ac:dyDescent="0.3">
      <c r="A1398" s="103"/>
      <c r="B1398" s="105"/>
      <c r="C1398" s="111"/>
      <c r="D1398" s="70"/>
      <c r="E1398" s="62"/>
      <c r="F1398" s="68"/>
      <c r="G1398" s="68"/>
      <c r="H1398" s="109"/>
    </row>
    <row r="1399" spans="1:8" hidden="1" x14ac:dyDescent="0.3">
      <c r="A1399" s="103"/>
      <c r="B1399" s="105"/>
      <c r="C1399" s="111"/>
      <c r="D1399" s="70"/>
      <c r="E1399" s="62"/>
      <c r="F1399" s="68"/>
      <c r="G1399" s="68"/>
      <c r="H1399" s="109"/>
    </row>
    <row r="1400" spans="1:8" hidden="1" x14ac:dyDescent="0.3">
      <c r="A1400" s="103"/>
      <c r="B1400" s="105"/>
      <c r="C1400" s="111"/>
      <c r="D1400" s="70"/>
      <c r="E1400" s="62"/>
      <c r="F1400" s="68"/>
      <c r="G1400" s="68"/>
      <c r="H1400" s="109"/>
    </row>
    <row r="1401" spans="1:8" hidden="1" x14ac:dyDescent="0.3">
      <c r="A1401" s="103"/>
      <c r="B1401" s="105"/>
      <c r="C1401" s="111"/>
      <c r="D1401" s="70"/>
      <c r="E1401" s="62"/>
      <c r="F1401" s="68"/>
      <c r="G1401" s="68"/>
      <c r="H1401" s="109"/>
    </row>
    <row r="1402" spans="1:8" hidden="1" x14ac:dyDescent="0.3">
      <c r="A1402" s="103"/>
      <c r="B1402" s="105"/>
      <c r="C1402" s="111"/>
      <c r="D1402" s="70"/>
      <c r="E1402" s="62"/>
      <c r="F1402" s="68"/>
      <c r="G1402" s="68"/>
      <c r="H1402" s="109"/>
    </row>
    <row r="1403" spans="1:8" hidden="1" x14ac:dyDescent="0.3">
      <c r="A1403" s="103"/>
      <c r="B1403" s="105"/>
      <c r="C1403" s="111"/>
      <c r="D1403" s="70"/>
      <c r="E1403" s="62"/>
      <c r="F1403" s="68"/>
      <c r="G1403" s="68"/>
      <c r="H1403" s="109"/>
    </row>
    <row r="1404" spans="1:8" hidden="1" x14ac:dyDescent="0.3">
      <c r="A1404" s="103"/>
      <c r="B1404" s="105"/>
      <c r="C1404" s="111"/>
      <c r="D1404" s="70"/>
      <c r="E1404" s="62"/>
      <c r="F1404" s="68"/>
      <c r="G1404" s="68"/>
      <c r="H1404" s="109"/>
    </row>
    <row r="1405" spans="1:8" hidden="1" x14ac:dyDescent="0.3">
      <c r="A1405" s="103"/>
      <c r="B1405" s="105"/>
      <c r="C1405" s="111"/>
      <c r="D1405" s="70"/>
      <c r="E1405" s="62"/>
      <c r="F1405" s="68"/>
      <c r="G1405" s="68"/>
      <c r="H1405" s="109"/>
    </row>
    <row r="1406" spans="1:8" hidden="1" x14ac:dyDescent="0.3">
      <c r="A1406" s="103"/>
      <c r="B1406" s="105"/>
      <c r="C1406" s="111"/>
      <c r="D1406" s="70"/>
      <c r="E1406" s="62"/>
      <c r="F1406" s="68"/>
      <c r="G1406" s="68"/>
      <c r="H1406" s="109"/>
    </row>
    <row r="1407" spans="1:8" hidden="1" x14ac:dyDescent="0.3">
      <c r="A1407" s="103"/>
      <c r="B1407" s="105"/>
      <c r="C1407" s="111"/>
      <c r="D1407" s="70"/>
      <c r="E1407" s="62"/>
      <c r="F1407" s="68"/>
      <c r="G1407" s="68"/>
      <c r="H1407" s="109"/>
    </row>
    <row r="1408" spans="1:8" hidden="1" x14ac:dyDescent="0.3">
      <c r="A1408" s="103"/>
      <c r="B1408" s="105"/>
      <c r="C1408" s="111"/>
      <c r="D1408" s="70"/>
      <c r="E1408" s="62"/>
      <c r="F1408" s="68"/>
      <c r="G1408" s="68"/>
      <c r="H1408" s="109"/>
    </row>
    <row r="1409" spans="1:8" hidden="1" x14ac:dyDescent="0.3">
      <c r="A1409" s="103"/>
      <c r="B1409" s="105"/>
      <c r="C1409" s="111"/>
      <c r="D1409" s="70"/>
      <c r="E1409" s="62"/>
      <c r="F1409" s="68"/>
      <c r="G1409" s="68"/>
      <c r="H1409" s="109"/>
    </row>
    <row r="1410" spans="1:8" hidden="1" x14ac:dyDescent="0.3">
      <c r="A1410" s="103"/>
      <c r="B1410" s="105"/>
      <c r="C1410" s="111"/>
      <c r="D1410" s="70"/>
      <c r="E1410" s="62"/>
      <c r="F1410" s="68"/>
      <c r="G1410" s="68"/>
      <c r="H1410" s="109"/>
    </row>
    <row r="1411" spans="1:8" hidden="1" x14ac:dyDescent="0.3">
      <c r="A1411" s="103"/>
      <c r="B1411" s="105"/>
      <c r="C1411" s="111"/>
      <c r="D1411" s="70"/>
      <c r="E1411" s="62"/>
      <c r="F1411" s="68"/>
      <c r="G1411" s="68"/>
      <c r="H1411" s="109"/>
    </row>
    <row r="1412" spans="1:8" hidden="1" x14ac:dyDescent="0.3">
      <c r="A1412" s="103"/>
      <c r="B1412" s="105"/>
      <c r="C1412" s="111"/>
      <c r="D1412" s="70"/>
      <c r="E1412" s="62"/>
      <c r="F1412" s="68"/>
      <c r="G1412" s="68"/>
      <c r="H1412" s="109"/>
    </row>
    <row r="1413" spans="1:8" hidden="1" x14ac:dyDescent="0.3">
      <c r="A1413" s="103"/>
      <c r="B1413" s="105"/>
      <c r="C1413" s="111"/>
      <c r="D1413" s="70"/>
      <c r="E1413" s="62"/>
      <c r="F1413" s="68"/>
      <c r="G1413" s="68"/>
      <c r="H1413" s="109"/>
    </row>
    <row r="1414" spans="1:8" hidden="1" x14ac:dyDescent="0.3">
      <c r="A1414" s="103"/>
      <c r="B1414" s="105"/>
      <c r="C1414" s="111"/>
      <c r="D1414" s="70"/>
      <c r="E1414" s="62"/>
      <c r="F1414" s="68"/>
      <c r="G1414" s="68"/>
      <c r="H1414" s="109"/>
    </row>
    <row r="1415" spans="1:8" hidden="1" x14ac:dyDescent="0.3">
      <c r="A1415" s="103"/>
      <c r="B1415" s="105"/>
      <c r="C1415" s="111"/>
      <c r="D1415" s="70"/>
      <c r="E1415" s="62"/>
      <c r="F1415" s="68"/>
      <c r="G1415" s="68"/>
      <c r="H1415" s="109"/>
    </row>
    <row r="1416" spans="1:8" hidden="1" x14ac:dyDescent="0.3">
      <c r="A1416" s="103"/>
      <c r="B1416" s="105"/>
      <c r="C1416" s="111"/>
      <c r="D1416" s="70"/>
      <c r="E1416" s="62"/>
      <c r="F1416" s="68"/>
      <c r="G1416" s="68"/>
      <c r="H1416" s="109"/>
    </row>
    <row r="1417" spans="1:8" hidden="1" x14ac:dyDescent="0.3">
      <c r="A1417" s="103"/>
      <c r="B1417" s="105"/>
      <c r="C1417" s="111"/>
      <c r="D1417" s="70"/>
      <c r="E1417" s="62"/>
      <c r="F1417" s="68"/>
      <c r="G1417" s="68"/>
      <c r="H1417" s="109"/>
    </row>
    <row r="1418" spans="1:8" hidden="1" x14ac:dyDescent="0.3">
      <c r="A1418" s="103"/>
      <c r="B1418" s="105"/>
      <c r="C1418" s="111"/>
      <c r="D1418" s="70"/>
      <c r="E1418" s="62"/>
      <c r="F1418" s="68"/>
      <c r="G1418" s="68"/>
      <c r="H1418" s="109"/>
    </row>
    <row r="1419" spans="1:8" hidden="1" x14ac:dyDescent="0.3">
      <c r="A1419" s="103"/>
      <c r="B1419" s="105"/>
      <c r="C1419" s="111"/>
      <c r="D1419" s="70"/>
      <c r="E1419" s="62"/>
      <c r="F1419" s="68"/>
      <c r="G1419" s="68"/>
      <c r="H1419" s="109"/>
    </row>
    <row r="1420" spans="1:8" hidden="1" x14ac:dyDescent="0.3">
      <c r="A1420" s="103"/>
      <c r="B1420" s="105"/>
      <c r="C1420" s="111"/>
      <c r="D1420" s="70"/>
      <c r="E1420" s="62"/>
      <c r="F1420" s="68"/>
      <c r="G1420" s="68"/>
      <c r="H1420" s="109"/>
    </row>
    <row r="1421" spans="1:8" hidden="1" x14ac:dyDescent="0.3">
      <c r="A1421" s="103"/>
      <c r="B1421" s="105"/>
      <c r="C1421" s="111"/>
      <c r="D1421" s="70"/>
      <c r="E1421" s="62"/>
      <c r="F1421" s="68"/>
      <c r="G1421" s="68"/>
      <c r="H1421" s="109"/>
    </row>
    <row r="1422" spans="1:8" hidden="1" x14ac:dyDescent="0.3">
      <c r="A1422" s="103"/>
      <c r="B1422" s="105"/>
      <c r="C1422" s="111"/>
      <c r="D1422" s="70"/>
      <c r="E1422" s="62"/>
      <c r="F1422" s="68"/>
      <c r="G1422" s="68"/>
      <c r="H1422" s="109"/>
    </row>
    <row r="1423" spans="1:8" hidden="1" x14ac:dyDescent="0.3">
      <c r="A1423" s="103"/>
      <c r="B1423" s="105"/>
      <c r="C1423" s="111"/>
      <c r="D1423" s="70"/>
      <c r="E1423" s="62"/>
      <c r="F1423" s="68"/>
      <c r="G1423" s="68"/>
      <c r="H1423" s="109"/>
    </row>
    <row r="1424" spans="1:8" hidden="1" x14ac:dyDescent="0.3">
      <c r="A1424" s="103"/>
      <c r="B1424" s="105"/>
      <c r="C1424" s="111"/>
      <c r="D1424" s="70"/>
      <c r="E1424" s="62"/>
      <c r="F1424" s="68"/>
      <c r="G1424" s="68"/>
      <c r="H1424" s="109"/>
    </row>
    <row r="1425" spans="1:8" hidden="1" x14ac:dyDescent="0.3">
      <c r="A1425" s="103"/>
      <c r="B1425" s="105"/>
      <c r="C1425" s="111"/>
      <c r="D1425" s="70"/>
      <c r="E1425" s="62"/>
      <c r="F1425" s="68"/>
      <c r="G1425" s="68"/>
      <c r="H1425" s="109"/>
    </row>
    <row r="1426" spans="1:8" hidden="1" x14ac:dyDescent="0.3">
      <c r="A1426" s="103"/>
      <c r="B1426" s="105"/>
      <c r="C1426" s="111"/>
      <c r="D1426" s="70"/>
      <c r="E1426" s="62"/>
      <c r="F1426" s="68"/>
      <c r="G1426" s="68"/>
      <c r="H1426" s="109"/>
    </row>
    <row r="1427" spans="1:8" hidden="1" x14ac:dyDescent="0.3">
      <c r="A1427" s="103"/>
      <c r="B1427" s="105"/>
      <c r="C1427" s="111"/>
      <c r="D1427" s="70"/>
      <c r="E1427" s="62"/>
      <c r="F1427" s="68"/>
      <c r="G1427" s="68"/>
      <c r="H1427" s="109"/>
    </row>
    <row r="1428" spans="1:8" hidden="1" x14ac:dyDescent="0.3">
      <c r="A1428" s="103"/>
      <c r="B1428" s="105"/>
      <c r="C1428" s="111"/>
      <c r="D1428" s="70"/>
      <c r="E1428" s="62"/>
      <c r="F1428" s="68"/>
      <c r="G1428" s="68"/>
      <c r="H1428" s="109"/>
    </row>
    <row r="1429" spans="1:8" hidden="1" x14ac:dyDescent="0.3">
      <c r="A1429" s="103"/>
      <c r="B1429" s="105"/>
      <c r="C1429" s="111"/>
      <c r="D1429" s="70"/>
      <c r="E1429" s="62"/>
      <c r="F1429" s="68"/>
      <c r="G1429" s="68"/>
      <c r="H1429" s="109"/>
    </row>
    <row r="1430" spans="1:8" hidden="1" x14ac:dyDescent="0.3">
      <c r="A1430" s="103"/>
      <c r="B1430" s="105"/>
      <c r="C1430" s="111"/>
      <c r="D1430" s="70"/>
      <c r="E1430" s="62"/>
      <c r="F1430" s="68"/>
      <c r="G1430" s="68"/>
      <c r="H1430" s="109"/>
    </row>
    <row r="1431" spans="1:8" hidden="1" x14ac:dyDescent="0.3">
      <c r="A1431" s="103"/>
      <c r="B1431" s="105"/>
      <c r="C1431" s="111"/>
      <c r="D1431" s="70"/>
      <c r="E1431" s="62"/>
      <c r="F1431" s="68"/>
      <c r="G1431" s="68"/>
      <c r="H1431" s="109"/>
    </row>
    <row r="1432" spans="1:8" hidden="1" x14ac:dyDescent="0.3">
      <c r="A1432" s="103"/>
      <c r="B1432" s="105"/>
      <c r="C1432" s="111"/>
      <c r="D1432" s="70"/>
      <c r="E1432" s="62"/>
      <c r="F1432" s="68"/>
      <c r="G1432" s="68"/>
      <c r="H1432" s="109"/>
    </row>
    <row r="1433" spans="1:8" hidden="1" x14ac:dyDescent="0.3">
      <c r="A1433" s="103"/>
      <c r="B1433" s="105"/>
      <c r="C1433" s="111"/>
      <c r="D1433" s="70"/>
      <c r="E1433" s="62"/>
      <c r="F1433" s="68"/>
      <c r="G1433" s="68"/>
      <c r="H1433" s="109"/>
    </row>
    <row r="1434" spans="1:8" hidden="1" x14ac:dyDescent="0.3">
      <c r="A1434" s="103"/>
      <c r="B1434" s="105"/>
      <c r="C1434" s="111"/>
      <c r="D1434" s="70"/>
      <c r="E1434" s="62"/>
      <c r="F1434" s="68"/>
      <c r="G1434" s="68"/>
      <c r="H1434" s="109"/>
    </row>
    <row r="1435" spans="1:8" hidden="1" x14ac:dyDescent="0.3">
      <c r="A1435" s="103"/>
      <c r="B1435" s="105"/>
      <c r="C1435" s="111"/>
      <c r="D1435" s="70"/>
      <c r="E1435" s="62"/>
      <c r="F1435" s="68"/>
      <c r="G1435" s="68"/>
      <c r="H1435" s="109"/>
    </row>
    <row r="1436" spans="1:8" hidden="1" x14ac:dyDescent="0.3">
      <c r="A1436" s="103"/>
      <c r="B1436" s="105"/>
      <c r="C1436" s="111"/>
      <c r="D1436" s="70"/>
      <c r="E1436" s="62"/>
      <c r="F1436" s="68"/>
      <c r="G1436" s="68"/>
      <c r="H1436" s="109"/>
    </row>
    <row r="1437" spans="1:8" hidden="1" x14ac:dyDescent="0.3">
      <c r="A1437" s="103"/>
      <c r="B1437" s="105"/>
      <c r="C1437" s="111"/>
      <c r="D1437" s="70"/>
      <c r="E1437" s="62"/>
      <c r="F1437" s="68"/>
      <c r="G1437" s="68"/>
      <c r="H1437" s="109"/>
    </row>
    <row r="1438" spans="1:8" hidden="1" x14ac:dyDescent="0.3">
      <c r="A1438" s="103"/>
      <c r="B1438" s="105"/>
      <c r="C1438" s="111"/>
      <c r="D1438" s="70"/>
      <c r="E1438" s="62"/>
      <c r="F1438" s="68"/>
      <c r="G1438" s="68"/>
      <c r="H1438" s="109"/>
    </row>
    <row r="1439" spans="1:8" hidden="1" x14ac:dyDescent="0.3">
      <c r="A1439" s="103"/>
      <c r="B1439" s="105"/>
      <c r="C1439" s="111"/>
      <c r="D1439" s="70"/>
      <c r="E1439" s="62"/>
      <c r="F1439" s="68"/>
      <c r="G1439" s="68"/>
      <c r="H1439" s="109"/>
    </row>
    <row r="1440" spans="1:8" hidden="1" x14ac:dyDescent="0.3">
      <c r="A1440" s="103"/>
      <c r="B1440" s="105"/>
      <c r="C1440" s="111"/>
      <c r="D1440" s="70"/>
      <c r="E1440" s="62"/>
      <c r="F1440" s="68"/>
      <c r="G1440" s="68"/>
      <c r="H1440" s="109"/>
    </row>
    <row r="1441" spans="1:8" hidden="1" x14ac:dyDescent="0.3">
      <c r="A1441" s="103"/>
      <c r="B1441" s="105"/>
      <c r="C1441" s="111"/>
      <c r="D1441" s="70"/>
      <c r="E1441" s="62"/>
      <c r="F1441" s="68"/>
      <c r="G1441" s="68"/>
      <c r="H1441" s="109"/>
    </row>
    <row r="1442" spans="1:8" hidden="1" x14ac:dyDescent="0.3">
      <c r="A1442" s="103"/>
      <c r="B1442" s="105"/>
      <c r="C1442" s="111"/>
      <c r="D1442" s="70"/>
      <c r="E1442" s="62"/>
      <c r="F1442" s="68"/>
      <c r="G1442" s="68"/>
      <c r="H1442" s="109"/>
    </row>
    <row r="1443" spans="1:8" hidden="1" x14ac:dyDescent="0.3">
      <c r="A1443" s="103"/>
      <c r="B1443" s="105"/>
      <c r="C1443" s="111"/>
      <c r="D1443" s="70"/>
      <c r="E1443" s="62"/>
      <c r="F1443" s="68"/>
      <c r="G1443" s="68"/>
      <c r="H1443" s="109"/>
    </row>
    <row r="1444" spans="1:8" hidden="1" x14ac:dyDescent="0.3">
      <c r="A1444" s="103"/>
      <c r="B1444" s="105"/>
      <c r="C1444" s="111"/>
      <c r="D1444" s="70"/>
      <c r="E1444" s="62"/>
      <c r="F1444" s="68"/>
      <c r="G1444" s="68"/>
      <c r="H1444" s="109"/>
    </row>
    <row r="1445" spans="1:8" hidden="1" x14ac:dyDescent="0.3">
      <c r="A1445" s="103"/>
      <c r="B1445" s="105"/>
      <c r="C1445" s="111"/>
      <c r="D1445" s="70"/>
      <c r="E1445" s="62"/>
      <c r="F1445" s="68"/>
      <c r="G1445" s="68"/>
      <c r="H1445" s="109"/>
    </row>
    <row r="1446" spans="1:8" hidden="1" x14ac:dyDescent="0.3">
      <c r="A1446" s="103"/>
      <c r="B1446" s="105"/>
      <c r="C1446" s="111"/>
      <c r="D1446" s="70"/>
      <c r="E1446" s="62"/>
      <c r="F1446" s="68"/>
      <c r="G1446" s="68"/>
      <c r="H1446" s="109"/>
    </row>
    <row r="1447" spans="1:8" hidden="1" x14ac:dyDescent="0.3">
      <c r="A1447" s="103"/>
      <c r="B1447" s="105"/>
      <c r="C1447" s="111"/>
      <c r="D1447" s="70"/>
      <c r="E1447" s="62"/>
      <c r="F1447" s="68"/>
      <c r="G1447" s="68"/>
      <c r="H1447" s="109"/>
    </row>
    <row r="1448" spans="1:8" hidden="1" x14ac:dyDescent="0.3">
      <c r="A1448" s="103"/>
      <c r="B1448" s="105"/>
      <c r="C1448" s="111"/>
      <c r="D1448" s="70"/>
      <c r="E1448" s="62"/>
      <c r="F1448" s="68"/>
      <c r="G1448" s="68"/>
      <c r="H1448" s="109"/>
    </row>
    <row r="1449" spans="1:8" hidden="1" x14ac:dyDescent="0.3">
      <c r="A1449" s="103"/>
      <c r="B1449" s="105"/>
      <c r="C1449" s="111"/>
      <c r="D1449" s="70"/>
      <c r="E1449" s="62"/>
      <c r="F1449" s="68"/>
      <c r="G1449" s="68"/>
      <c r="H1449" s="109"/>
    </row>
    <row r="1450" spans="1:8" hidden="1" x14ac:dyDescent="0.3">
      <c r="A1450" s="103"/>
      <c r="B1450" s="105"/>
      <c r="C1450" s="111"/>
      <c r="D1450" s="70"/>
      <c r="E1450" s="62"/>
      <c r="F1450" s="68"/>
      <c r="G1450" s="68"/>
      <c r="H1450" s="109"/>
    </row>
    <row r="1451" spans="1:8" hidden="1" x14ac:dyDescent="0.3">
      <c r="A1451" s="103"/>
      <c r="B1451" s="105"/>
      <c r="C1451" s="111"/>
      <c r="D1451" s="70"/>
      <c r="E1451" s="62"/>
      <c r="F1451" s="68"/>
      <c r="G1451" s="68"/>
      <c r="H1451" s="109"/>
    </row>
    <row r="1452" spans="1:8" hidden="1" x14ac:dyDescent="0.3">
      <c r="A1452" s="103"/>
      <c r="B1452" s="105"/>
      <c r="C1452" s="111"/>
      <c r="D1452" s="70"/>
      <c r="E1452" s="62"/>
      <c r="F1452" s="68"/>
      <c r="G1452" s="68"/>
      <c r="H1452" s="109"/>
    </row>
    <row r="1453" spans="1:8" hidden="1" x14ac:dyDescent="0.3">
      <c r="A1453" s="103"/>
      <c r="B1453" s="105"/>
      <c r="C1453" s="111"/>
      <c r="D1453" s="70"/>
      <c r="E1453" s="62"/>
      <c r="F1453" s="68"/>
      <c r="G1453" s="68"/>
      <c r="H1453" s="109"/>
    </row>
    <row r="1454" spans="1:8" hidden="1" x14ac:dyDescent="0.3">
      <c r="A1454" s="103"/>
      <c r="B1454" s="105"/>
      <c r="C1454" s="111"/>
      <c r="D1454" s="70"/>
      <c r="E1454" s="62"/>
      <c r="F1454" s="68"/>
      <c r="G1454" s="68"/>
      <c r="H1454" s="109"/>
    </row>
    <row r="1455" spans="1:8" hidden="1" x14ac:dyDescent="0.3">
      <c r="A1455" s="103"/>
      <c r="B1455" s="105"/>
      <c r="C1455" s="111"/>
      <c r="D1455" s="70"/>
      <c r="E1455" s="62"/>
      <c r="F1455" s="68"/>
      <c r="G1455" s="68"/>
      <c r="H1455" s="109"/>
    </row>
    <row r="1456" spans="1:8" hidden="1" x14ac:dyDescent="0.3">
      <c r="A1456" s="103"/>
      <c r="B1456" s="105"/>
      <c r="C1456" s="111"/>
      <c r="D1456" s="70"/>
      <c r="E1456" s="62"/>
      <c r="F1456" s="68"/>
      <c r="G1456" s="68"/>
      <c r="H1456" s="109"/>
    </row>
    <row r="1457" spans="1:8" hidden="1" x14ac:dyDescent="0.3">
      <c r="A1457" s="103"/>
      <c r="B1457" s="105"/>
      <c r="C1457" s="111"/>
      <c r="D1457" s="70"/>
      <c r="E1457" s="62"/>
      <c r="F1457" s="68"/>
      <c r="G1457" s="68"/>
      <c r="H1457" s="109"/>
    </row>
    <row r="1458" spans="1:8" hidden="1" x14ac:dyDescent="0.3">
      <c r="A1458" s="103"/>
      <c r="B1458" s="105"/>
      <c r="C1458" s="111"/>
      <c r="D1458" s="70"/>
      <c r="E1458" s="62"/>
      <c r="F1458" s="68"/>
      <c r="G1458" s="68"/>
      <c r="H1458" s="109"/>
    </row>
    <row r="1459" spans="1:8" hidden="1" x14ac:dyDescent="0.3">
      <c r="A1459" s="103"/>
      <c r="B1459" s="105"/>
      <c r="C1459" s="111"/>
      <c r="D1459" s="70"/>
      <c r="E1459" s="62"/>
      <c r="F1459" s="68"/>
      <c r="G1459" s="68"/>
      <c r="H1459" s="109"/>
    </row>
    <row r="1460" spans="1:8" hidden="1" x14ac:dyDescent="0.3">
      <c r="A1460" s="103"/>
      <c r="B1460" s="105"/>
      <c r="C1460" s="111"/>
      <c r="D1460" s="70"/>
      <c r="E1460" s="62"/>
      <c r="F1460" s="68"/>
      <c r="G1460" s="68"/>
      <c r="H1460" s="109"/>
    </row>
    <row r="1461" spans="1:8" hidden="1" x14ac:dyDescent="0.3">
      <c r="A1461" s="103"/>
      <c r="B1461" s="105"/>
      <c r="C1461" s="111"/>
      <c r="D1461" s="70"/>
      <c r="E1461" s="62"/>
      <c r="F1461" s="68"/>
      <c r="G1461" s="68"/>
      <c r="H1461" s="109"/>
    </row>
    <row r="1462" spans="1:8" hidden="1" x14ac:dyDescent="0.3">
      <c r="A1462" s="103"/>
      <c r="B1462" s="105"/>
      <c r="C1462" s="111"/>
      <c r="D1462" s="70"/>
      <c r="E1462" s="62"/>
      <c r="F1462" s="68"/>
      <c r="G1462" s="68"/>
      <c r="H1462" s="109"/>
    </row>
    <row r="1463" spans="1:8" hidden="1" x14ac:dyDescent="0.3">
      <c r="A1463" s="103"/>
      <c r="B1463" s="105"/>
      <c r="C1463" s="111"/>
      <c r="D1463" s="70"/>
      <c r="E1463" s="62"/>
      <c r="F1463" s="68"/>
      <c r="G1463" s="68"/>
      <c r="H1463" s="109"/>
    </row>
    <row r="1464" spans="1:8" hidden="1" x14ac:dyDescent="0.3">
      <c r="A1464" s="103"/>
      <c r="B1464" s="105"/>
      <c r="C1464" s="111"/>
      <c r="D1464" s="70"/>
      <c r="E1464" s="62"/>
      <c r="F1464" s="68"/>
      <c r="G1464" s="68"/>
      <c r="H1464" s="109"/>
    </row>
    <row r="1465" spans="1:8" hidden="1" x14ac:dyDescent="0.3">
      <c r="A1465" s="103"/>
      <c r="B1465" s="105"/>
      <c r="C1465" s="111"/>
      <c r="D1465" s="70"/>
      <c r="E1465" s="62"/>
      <c r="F1465" s="68"/>
      <c r="G1465" s="68"/>
      <c r="H1465" s="109"/>
    </row>
    <row r="1466" spans="1:8" hidden="1" x14ac:dyDescent="0.3">
      <c r="A1466" s="103"/>
      <c r="B1466" s="105"/>
      <c r="C1466" s="111"/>
      <c r="D1466" s="70"/>
      <c r="E1466" s="62"/>
      <c r="F1466" s="68"/>
      <c r="G1466" s="68"/>
      <c r="H1466" s="109"/>
    </row>
    <row r="1467" spans="1:8" hidden="1" x14ac:dyDescent="0.3">
      <c r="A1467" s="103"/>
      <c r="B1467" s="105"/>
      <c r="C1467" s="111"/>
      <c r="D1467" s="70"/>
      <c r="E1467" s="62"/>
      <c r="F1467" s="68"/>
      <c r="G1467" s="68"/>
      <c r="H1467" s="109"/>
    </row>
    <row r="1468" spans="1:8" hidden="1" x14ac:dyDescent="0.3">
      <c r="A1468" s="103"/>
      <c r="B1468" s="105"/>
      <c r="C1468" s="111"/>
      <c r="D1468" s="70"/>
      <c r="E1468" s="62"/>
      <c r="F1468" s="68"/>
      <c r="G1468" s="68"/>
      <c r="H1468" s="109"/>
    </row>
    <row r="1469" spans="1:8" hidden="1" x14ac:dyDescent="0.3">
      <c r="A1469" s="103"/>
      <c r="B1469" s="105"/>
      <c r="C1469" s="111"/>
      <c r="D1469" s="70"/>
      <c r="E1469" s="62"/>
      <c r="F1469" s="68"/>
      <c r="G1469" s="68"/>
      <c r="H1469" s="109"/>
    </row>
    <row r="1470" spans="1:8" hidden="1" x14ac:dyDescent="0.3">
      <c r="A1470" s="103"/>
      <c r="B1470" s="105"/>
      <c r="C1470" s="111"/>
      <c r="D1470" s="70"/>
      <c r="E1470" s="62"/>
      <c r="F1470" s="68"/>
      <c r="G1470" s="68"/>
      <c r="H1470" s="109"/>
    </row>
    <row r="1471" spans="1:8" hidden="1" x14ac:dyDescent="0.3">
      <c r="A1471" s="103"/>
      <c r="B1471" s="105"/>
      <c r="C1471" s="111"/>
      <c r="D1471" s="70"/>
      <c r="E1471" s="62"/>
      <c r="F1471" s="68"/>
      <c r="G1471" s="68"/>
      <c r="H1471" s="109"/>
    </row>
    <row r="1472" spans="1:8" hidden="1" x14ac:dyDescent="0.3">
      <c r="A1472" s="103"/>
      <c r="B1472" s="105"/>
      <c r="C1472" s="111"/>
      <c r="D1472" s="70"/>
      <c r="E1472" s="62"/>
      <c r="F1472" s="68"/>
      <c r="G1472" s="68"/>
      <c r="H1472" s="109"/>
    </row>
    <row r="1473" spans="1:8" hidden="1" x14ac:dyDescent="0.3">
      <c r="A1473" s="103"/>
      <c r="B1473" s="105"/>
      <c r="C1473" s="111"/>
      <c r="D1473" s="70"/>
      <c r="E1473" s="62"/>
      <c r="F1473" s="68"/>
      <c r="G1473" s="68"/>
      <c r="H1473" s="109"/>
    </row>
    <row r="1474" spans="1:8" hidden="1" x14ac:dyDescent="0.3">
      <c r="A1474" s="103"/>
      <c r="B1474" s="105"/>
      <c r="C1474" s="111"/>
      <c r="D1474" s="70"/>
      <c r="E1474" s="62"/>
      <c r="F1474" s="68"/>
      <c r="G1474" s="68"/>
      <c r="H1474" s="109"/>
    </row>
    <row r="1475" spans="1:8" hidden="1" x14ac:dyDescent="0.3">
      <c r="A1475" s="103"/>
      <c r="B1475" s="105"/>
      <c r="C1475" s="111"/>
      <c r="D1475" s="70"/>
      <c r="E1475" s="62"/>
      <c r="F1475" s="68"/>
      <c r="G1475" s="68"/>
      <c r="H1475" s="109"/>
    </row>
    <row r="1476" spans="1:8" hidden="1" x14ac:dyDescent="0.3">
      <c r="A1476" s="103"/>
      <c r="B1476" s="105"/>
      <c r="C1476" s="111"/>
      <c r="D1476" s="70"/>
      <c r="E1476" s="62"/>
      <c r="F1476" s="68"/>
      <c r="G1476" s="68"/>
      <c r="H1476" s="109"/>
    </row>
    <row r="1477" spans="1:8" hidden="1" x14ac:dyDescent="0.3">
      <c r="A1477" s="103"/>
      <c r="B1477" s="105"/>
      <c r="C1477" s="111"/>
      <c r="D1477" s="70"/>
      <c r="E1477" s="62"/>
      <c r="F1477" s="68"/>
      <c r="G1477" s="68"/>
      <c r="H1477" s="109"/>
    </row>
    <row r="1478" spans="1:8" x14ac:dyDescent="0.3"/>
    <row r="1479" spans="1:8" x14ac:dyDescent="0.3"/>
    <row r="1480" spans="1:8" x14ac:dyDescent="0.3"/>
    <row r="1481" spans="1:8" x14ac:dyDescent="0.3"/>
    <row r="1482" spans="1:8" x14ac:dyDescent="0.3"/>
    <row r="1483" spans="1:8" x14ac:dyDescent="0.3"/>
    <row r="1484" spans="1:8" x14ac:dyDescent="0.3"/>
    <row r="1485" spans="1:8" x14ac:dyDescent="0.3"/>
    <row r="1486" spans="1:8" x14ac:dyDescent="0.3"/>
    <row r="1487" spans="1:8" x14ac:dyDescent="0.3"/>
    <row r="1488" spans="1:8" x14ac:dyDescent="0.3"/>
    <row r="1489" x14ac:dyDescent="0.3"/>
    <row r="1490" x14ac:dyDescent="0.3"/>
    <row r="1491" x14ac:dyDescent="0.3"/>
    <row r="1492" x14ac:dyDescent="0.3"/>
    <row r="1493" x14ac:dyDescent="0.3"/>
    <row r="1494" x14ac:dyDescent="0.3"/>
    <row r="1495" x14ac:dyDescent="0.3"/>
    <row r="1496" x14ac:dyDescent="0.3"/>
    <row r="1497" x14ac:dyDescent="0.3"/>
    <row r="1498" x14ac:dyDescent="0.3"/>
    <row r="1499" x14ac:dyDescent="0.3"/>
  </sheetData>
  <autoFilter ref="A1:I156"/>
  <hyperlinks>
    <hyperlink ref="H10" r:id="rId1"/>
    <hyperlink ref="H18" r:id="rId2"/>
    <hyperlink ref="H3" r:id="rId3"/>
    <hyperlink ref="H4" r:id="rId4"/>
    <hyperlink ref="H5" r:id="rId5"/>
    <hyperlink ref="H6" r:id="rId6"/>
    <hyperlink ref="H7" r:id="rId7"/>
    <hyperlink ref="H8" r:id="rId8"/>
    <hyperlink ref="H9" r:id="rId9"/>
    <hyperlink ref="H11" r:id="rId10"/>
    <hyperlink ref="H12" r:id="rId11"/>
    <hyperlink ref="H13" r:id="rId12"/>
    <hyperlink ref="H14" r:id="rId13"/>
    <hyperlink ref="H19" r:id="rId14"/>
    <hyperlink ref="H20" r:id="rId15"/>
    <hyperlink ref="H22" r:id="rId16"/>
    <hyperlink ref="H23" r:id="rId17"/>
    <hyperlink ref="H24" r:id="rId18"/>
    <hyperlink ref="H25" r:id="rId19"/>
    <hyperlink ref="H26" r:id="rId20"/>
    <hyperlink ref="H27" r:id="rId21"/>
    <hyperlink ref="H28" r:id="rId22"/>
    <hyperlink ref="H29" r:id="rId23"/>
    <hyperlink ref="H30" r:id="rId24"/>
    <hyperlink ref="H31" r:id="rId25"/>
    <hyperlink ref="H32" r:id="rId26"/>
    <hyperlink ref="H33" r:id="rId27"/>
    <hyperlink ref="H34" r:id="rId28"/>
    <hyperlink ref="H35" r:id="rId29"/>
    <hyperlink ref="H36" r:id="rId30"/>
    <hyperlink ref="H37" r:id="rId31"/>
    <hyperlink ref="H38" r:id="rId32"/>
    <hyperlink ref="H39" r:id="rId33"/>
    <hyperlink ref="H40" r:id="rId34"/>
    <hyperlink ref="H41" r:id="rId35"/>
    <hyperlink ref="H42" r:id="rId36"/>
    <hyperlink ref="H43" r:id="rId37"/>
    <hyperlink ref="H44" r:id="rId38"/>
    <hyperlink ref="H45" r:id="rId39"/>
    <hyperlink ref="H46" r:id="rId40"/>
    <hyperlink ref="H47" r:id="rId41"/>
    <hyperlink ref="H48" r:id="rId42"/>
    <hyperlink ref="H49" r:id="rId43"/>
    <hyperlink ref="H50" r:id="rId44"/>
    <hyperlink ref="H51" r:id="rId45"/>
    <hyperlink ref="H52" r:id="rId46"/>
    <hyperlink ref="H53" r:id="rId47"/>
    <hyperlink ref="H54" r:id="rId48"/>
    <hyperlink ref="H56" r:id="rId49"/>
    <hyperlink ref="H57" r:id="rId50"/>
    <hyperlink ref="H58" r:id="rId51"/>
    <hyperlink ref="H59" r:id="rId52"/>
    <hyperlink ref="H61" r:id="rId53"/>
    <hyperlink ref="H63" r:id="rId54"/>
    <hyperlink ref="H64" r:id="rId55"/>
    <hyperlink ref="H65" r:id="rId56"/>
    <hyperlink ref="H66" r:id="rId57"/>
    <hyperlink ref="H67" r:id="rId58"/>
    <hyperlink ref="H68" r:id="rId59"/>
    <hyperlink ref="H69" r:id="rId60"/>
    <hyperlink ref="H70" r:id="rId61"/>
    <hyperlink ref="H71" r:id="rId62"/>
    <hyperlink ref="H72" r:id="rId63"/>
    <hyperlink ref="H75" r:id="rId64"/>
    <hyperlink ref="H76" r:id="rId65"/>
    <hyperlink ref="H77" r:id="rId66"/>
    <hyperlink ref="H78" r:id="rId67"/>
    <hyperlink ref="H79" r:id="rId68"/>
    <hyperlink ref="H80" r:id="rId69"/>
    <hyperlink ref="H81" r:id="rId70"/>
    <hyperlink ref="H84" r:id="rId71"/>
    <hyperlink ref="H85" r:id="rId72"/>
    <hyperlink ref="H86" r:id="rId73"/>
    <hyperlink ref="H87" r:id="rId74"/>
    <hyperlink ref="H88" r:id="rId75"/>
    <hyperlink ref="H89" r:id="rId76"/>
    <hyperlink ref="H90" r:id="rId77"/>
    <hyperlink ref="H91" r:id="rId78"/>
    <hyperlink ref="H92" r:id="rId79"/>
    <hyperlink ref="H93" r:id="rId80"/>
    <hyperlink ref="H94" r:id="rId81"/>
    <hyperlink ref="H95" r:id="rId82"/>
    <hyperlink ref="H96" r:id="rId83"/>
    <hyperlink ref="H97" r:id="rId84"/>
    <hyperlink ref="H98" r:id="rId85"/>
    <hyperlink ref="H99" r:id="rId86"/>
    <hyperlink ref="H101" r:id="rId87"/>
    <hyperlink ref="H102" r:id="rId88"/>
    <hyperlink ref="H103" r:id="rId89"/>
    <hyperlink ref="H104" r:id="rId90"/>
    <hyperlink ref="H105" r:id="rId91"/>
    <hyperlink ref="H106" r:id="rId92"/>
    <hyperlink ref="H107" r:id="rId93"/>
    <hyperlink ref="H108" r:id="rId94"/>
    <hyperlink ref="H109" r:id="rId95"/>
    <hyperlink ref="H110" r:id="rId96"/>
    <hyperlink ref="H111" r:id="rId97"/>
    <hyperlink ref="H112" r:id="rId98"/>
    <hyperlink ref="H113" r:id="rId99"/>
    <hyperlink ref="H114" r:id="rId100"/>
    <hyperlink ref="H115" r:id="rId101"/>
    <hyperlink ref="H116" r:id="rId102"/>
    <hyperlink ref="H117" r:id="rId103"/>
    <hyperlink ref="H118" r:id="rId104"/>
    <hyperlink ref="H119" r:id="rId105"/>
    <hyperlink ref="H120" r:id="rId106"/>
    <hyperlink ref="H124" r:id="rId107"/>
    <hyperlink ref="H125" r:id="rId108"/>
    <hyperlink ref="H126" r:id="rId109"/>
    <hyperlink ref="H127" r:id="rId110"/>
    <hyperlink ref="H136" r:id="rId111"/>
    <hyperlink ref="H138" r:id="rId112"/>
    <hyperlink ref="H142" r:id="rId113"/>
    <hyperlink ref="H144" r:id="rId114"/>
    <hyperlink ref="H146" r:id="rId115"/>
    <hyperlink ref="H147" r:id="rId116"/>
    <hyperlink ref="H149" r:id="rId117"/>
    <hyperlink ref="H151" r:id="rId118"/>
    <hyperlink ref="H154" r:id="rId119"/>
    <hyperlink ref="H155" r:id="rId120"/>
    <hyperlink ref="H156" r:id="rId121"/>
  </hyperlinks>
  <pageMargins left="0.7" right="0.7" top="0.75" bottom="0.75" header="0.3" footer="0.3"/>
  <drawing r:id="rId122"/>
  <legacyDrawing r:id="rId12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24" name="Button 1">
              <controlPr defaultSize="0" print="0" autoFill="0" autoPict="0" macro="[0]!Ouvrre2">
                <anchor moveWithCells="1" sizeWithCells="1">
                  <from>
                    <xdr:col>9</xdr:col>
                    <xdr:colOff>99060</xdr:colOff>
                    <xdr:row>0</xdr:row>
                    <xdr:rowOff>7620</xdr:rowOff>
                  </from>
                  <to>
                    <xdr:col>9</xdr:col>
                    <xdr:colOff>807720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3" tint="-0.249977111117893"/>
  </sheetPr>
  <dimension ref="A1:F1501"/>
  <sheetViews>
    <sheetView topLeftCell="A94" workbookViewId="0">
      <selection activeCell="D104" sqref="D104"/>
    </sheetView>
  </sheetViews>
  <sheetFormatPr baseColWidth="10" defaultRowHeight="14.4" x14ac:dyDescent="0.3"/>
  <cols>
    <col min="1" max="1" width="22.5546875" style="104" bestFit="1" customWidth="1"/>
    <col min="2" max="2" width="23.88671875" style="106" bestFit="1" customWidth="1"/>
    <col min="3" max="3" width="22.5546875" style="65" customWidth="1"/>
    <col min="4" max="4" width="27.5546875" style="63" customWidth="1"/>
    <col min="5" max="5" width="27.5546875" style="69" customWidth="1"/>
    <col min="6" max="6" width="35.5546875" style="69" bestFit="1" customWidth="1"/>
  </cols>
  <sheetData>
    <row r="1" spans="1:6" ht="15.6" x14ac:dyDescent="0.3">
      <c r="A1" s="101" t="s">
        <v>446</v>
      </c>
      <c r="B1" s="98" t="s">
        <v>447</v>
      </c>
      <c r="C1" s="107" t="s">
        <v>37</v>
      </c>
      <c r="D1" s="99" t="s">
        <v>274</v>
      </c>
      <c r="E1" s="107" t="s">
        <v>448</v>
      </c>
      <c r="F1" s="100" t="s">
        <v>32</v>
      </c>
    </row>
    <row r="2" spans="1:6" x14ac:dyDescent="0.3">
      <c r="A2" s="146" t="s">
        <v>1165</v>
      </c>
      <c r="B2" s="147"/>
      <c r="C2" s="117"/>
      <c r="D2" s="148" t="s">
        <v>1166</v>
      </c>
      <c r="E2" s="149" t="s">
        <v>1167</v>
      </c>
      <c r="F2" s="68"/>
    </row>
    <row r="3" spans="1:6" x14ac:dyDescent="0.3">
      <c r="A3" s="146" t="s">
        <v>1168</v>
      </c>
      <c r="B3" s="147"/>
      <c r="C3" s="117"/>
      <c r="D3" s="148" t="s">
        <v>1169</v>
      </c>
      <c r="E3" s="149" t="s">
        <v>1170</v>
      </c>
      <c r="F3" s="68"/>
    </row>
    <row r="4" spans="1:6" x14ac:dyDescent="0.3">
      <c r="A4" s="146" t="s">
        <v>1171</v>
      </c>
      <c r="B4" s="150"/>
      <c r="C4" s="117"/>
      <c r="D4" s="148" t="s">
        <v>1172</v>
      </c>
      <c r="E4" s="149" t="s">
        <v>1173</v>
      </c>
      <c r="F4" s="68"/>
    </row>
    <row r="5" spans="1:6" x14ac:dyDescent="0.3">
      <c r="A5" s="146" t="s">
        <v>1174</v>
      </c>
      <c r="B5" s="150"/>
      <c r="C5" s="117"/>
      <c r="D5" s="148" t="s">
        <v>1175</v>
      </c>
      <c r="E5" s="149" t="s">
        <v>1176</v>
      </c>
      <c r="F5" s="68"/>
    </row>
    <row r="6" spans="1:6" x14ac:dyDescent="0.3">
      <c r="A6" s="146" t="s">
        <v>1177</v>
      </c>
      <c r="B6" s="150"/>
      <c r="C6" s="117"/>
      <c r="D6" s="148" t="s">
        <v>1178</v>
      </c>
      <c r="E6" s="149" t="s">
        <v>1179</v>
      </c>
      <c r="F6" s="68"/>
    </row>
    <row r="7" spans="1:6" x14ac:dyDescent="0.3">
      <c r="A7" s="146" t="s">
        <v>1180</v>
      </c>
      <c r="B7" s="114"/>
      <c r="C7" s="115"/>
      <c r="D7" s="148" t="s">
        <v>1181</v>
      </c>
      <c r="E7" s="149" t="s">
        <v>1182</v>
      </c>
      <c r="F7" s="68"/>
    </row>
    <row r="8" spans="1:6" x14ac:dyDescent="0.3">
      <c r="A8" s="146" t="s">
        <v>1183</v>
      </c>
      <c r="B8" s="114"/>
      <c r="C8" s="115"/>
      <c r="D8" s="148" t="s">
        <v>1184</v>
      </c>
      <c r="E8" s="149" t="s">
        <v>1185</v>
      </c>
      <c r="F8" s="68"/>
    </row>
    <row r="9" spans="1:6" x14ac:dyDescent="0.3">
      <c r="A9" s="146" t="s">
        <v>1186</v>
      </c>
      <c r="B9" s="114"/>
      <c r="C9" s="115"/>
      <c r="D9" s="148" t="s">
        <v>1187</v>
      </c>
      <c r="E9" s="149" t="s">
        <v>1188</v>
      </c>
      <c r="F9" s="68"/>
    </row>
    <row r="10" spans="1:6" x14ac:dyDescent="0.3">
      <c r="A10" s="146" t="s">
        <v>1186</v>
      </c>
      <c r="B10" s="151"/>
      <c r="C10" s="115"/>
      <c r="D10" s="148" t="s">
        <v>1189</v>
      </c>
      <c r="E10" s="149" t="s">
        <v>1190</v>
      </c>
      <c r="F10" s="68"/>
    </row>
    <row r="11" spans="1:6" x14ac:dyDescent="0.3">
      <c r="A11" s="146" t="s">
        <v>1191</v>
      </c>
      <c r="B11" s="114"/>
      <c r="C11" s="149" t="s">
        <v>1192</v>
      </c>
      <c r="D11" s="148" t="s">
        <v>1193</v>
      </c>
      <c r="E11" s="149"/>
      <c r="F11" s="68"/>
    </row>
    <row r="12" spans="1:6" x14ac:dyDescent="0.3">
      <c r="A12" s="146" t="s">
        <v>1194</v>
      </c>
      <c r="B12" s="114"/>
      <c r="C12" s="115"/>
      <c r="D12" s="148" t="s">
        <v>1195</v>
      </c>
      <c r="E12" s="149" t="s">
        <v>1196</v>
      </c>
      <c r="F12" s="68"/>
    </row>
    <row r="13" spans="1:6" x14ac:dyDescent="0.3">
      <c r="A13" s="146" t="s">
        <v>1197</v>
      </c>
      <c r="B13" s="114"/>
      <c r="C13" s="115"/>
      <c r="D13" s="148" t="s">
        <v>1198</v>
      </c>
      <c r="E13" s="152" t="s">
        <v>1199</v>
      </c>
      <c r="F13" s="68"/>
    </row>
    <row r="14" spans="1:6" x14ac:dyDescent="0.3">
      <c r="A14" s="146" t="s">
        <v>1200</v>
      </c>
      <c r="B14" s="114"/>
      <c r="C14" s="115"/>
      <c r="D14" s="148" t="s">
        <v>1201</v>
      </c>
      <c r="E14" s="149" t="s">
        <v>1188</v>
      </c>
      <c r="F14" s="68"/>
    </row>
    <row r="15" spans="1:6" x14ac:dyDescent="0.3">
      <c r="A15" s="146" t="s">
        <v>1200</v>
      </c>
      <c r="B15" s="114"/>
      <c r="C15" s="149" t="s">
        <v>1202</v>
      </c>
      <c r="D15" s="148" t="s">
        <v>1203</v>
      </c>
      <c r="E15" s="117"/>
      <c r="F15" s="68"/>
    </row>
    <row r="16" spans="1:6" x14ac:dyDescent="0.3">
      <c r="A16" s="146" t="s">
        <v>1204</v>
      </c>
      <c r="B16" s="114"/>
      <c r="C16" s="115"/>
      <c r="D16" s="148" t="s">
        <v>1205</v>
      </c>
      <c r="E16" s="152" t="s">
        <v>1206</v>
      </c>
      <c r="F16" s="68"/>
    </row>
    <row r="17" spans="1:6" x14ac:dyDescent="0.3">
      <c r="A17" s="146" t="s">
        <v>1207</v>
      </c>
      <c r="B17" s="114"/>
      <c r="C17" s="149" t="s">
        <v>1208</v>
      </c>
      <c r="D17" s="148" t="s">
        <v>1209</v>
      </c>
      <c r="E17" s="117"/>
      <c r="F17" s="68"/>
    </row>
    <row r="18" spans="1:6" x14ac:dyDescent="0.3">
      <c r="A18" s="146" t="s">
        <v>1210</v>
      </c>
      <c r="B18" s="114"/>
      <c r="C18" s="115"/>
      <c r="D18" s="116" t="s">
        <v>1211</v>
      </c>
      <c r="E18" s="152" t="s">
        <v>1212</v>
      </c>
      <c r="F18" s="68"/>
    </row>
    <row r="19" spans="1:6" x14ac:dyDescent="0.3">
      <c r="A19" s="146" t="s">
        <v>1213</v>
      </c>
      <c r="B19" s="114"/>
      <c r="C19" s="115"/>
      <c r="D19" s="148" t="s">
        <v>1214</v>
      </c>
      <c r="E19" s="149" t="s">
        <v>1215</v>
      </c>
      <c r="F19" s="68"/>
    </row>
    <row r="20" spans="1:6" x14ac:dyDescent="0.3">
      <c r="A20" s="146" t="s">
        <v>1216</v>
      </c>
      <c r="B20" s="114"/>
      <c r="C20" s="115"/>
      <c r="D20" s="148" t="s">
        <v>1217</v>
      </c>
      <c r="E20" s="149" t="s">
        <v>1218</v>
      </c>
      <c r="F20" s="68"/>
    </row>
    <row r="21" spans="1:6" x14ac:dyDescent="0.3">
      <c r="A21" s="146" t="s">
        <v>1219</v>
      </c>
      <c r="B21" s="114"/>
      <c r="C21" s="115"/>
      <c r="D21" s="148" t="s">
        <v>1220</v>
      </c>
      <c r="E21" s="152" t="s">
        <v>1221</v>
      </c>
      <c r="F21" s="68"/>
    </row>
    <row r="22" spans="1:6" x14ac:dyDescent="0.3">
      <c r="A22" s="146" t="s">
        <v>1222</v>
      </c>
      <c r="B22" s="114"/>
      <c r="C22" s="115"/>
      <c r="D22" s="148" t="s">
        <v>1223</v>
      </c>
      <c r="E22" s="152" t="s">
        <v>1224</v>
      </c>
      <c r="F22" s="68"/>
    </row>
    <row r="23" spans="1:6" x14ac:dyDescent="0.3">
      <c r="A23" s="146" t="s">
        <v>1225</v>
      </c>
      <c r="B23" s="114"/>
      <c r="C23" s="115"/>
      <c r="D23" s="148" t="s">
        <v>1226</v>
      </c>
      <c r="E23" s="152" t="s">
        <v>1227</v>
      </c>
      <c r="F23" s="68"/>
    </row>
    <row r="24" spans="1:6" x14ac:dyDescent="0.3">
      <c r="A24" s="146" t="s">
        <v>1228</v>
      </c>
      <c r="B24" s="114"/>
      <c r="C24" s="115"/>
      <c r="D24" s="148" t="s">
        <v>1229</v>
      </c>
      <c r="E24" s="148" t="s">
        <v>1230</v>
      </c>
      <c r="F24" s="68"/>
    </row>
    <row r="25" spans="1:6" x14ac:dyDescent="0.3">
      <c r="A25" s="146" t="s">
        <v>1231</v>
      </c>
      <c r="B25" s="114"/>
      <c r="C25" s="152" t="s">
        <v>1232</v>
      </c>
      <c r="D25" s="148" t="s">
        <v>1233</v>
      </c>
      <c r="E25" s="117"/>
      <c r="F25" s="68"/>
    </row>
    <row r="26" spans="1:6" x14ac:dyDescent="0.3">
      <c r="A26" s="146" t="s">
        <v>1234</v>
      </c>
      <c r="B26" s="114"/>
      <c r="C26" s="115"/>
      <c r="D26" s="148" t="s">
        <v>1235</v>
      </c>
      <c r="E26" s="148" t="s">
        <v>1236</v>
      </c>
      <c r="F26" s="68"/>
    </row>
    <row r="27" spans="1:6" x14ac:dyDescent="0.3">
      <c r="A27" s="146" t="s">
        <v>1237</v>
      </c>
      <c r="B27" s="114"/>
      <c r="C27" s="115"/>
      <c r="D27" s="148" t="s">
        <v>1238</v>
      </c>
      <c r="E27" s="152" t="s">
        <v>1239</v>
      </c>
      <c r="F27" s="68"/>
    </row>
    <row r="28" spans="1:6" x14ac:dyDescent="0.3">
      <c r="A28" s="146" t="s">
        <v>1240</v>
      </c>
      <c r="B28" s="146" t="s">
        <v>1241</v>
      </c>
      <c r="C28" s="152" t="s">
        <v>1242</v>
      </c>
      <c r="D28" s="148" t="s">
        <v>1243</v>
      </c>
      <c r="E28" s="117"/>
      <c r="F28" s="68"/>
    </row>
    <row r="29" spans="1:6" x14ac:dyDescent="0.3">
      <c r="A29" s="146" t="s">
        <v>1244</v>
      </c>
      <c r="B29" s="114"/>
      <c r="C29" s="115"/>
      <c r="D29" s="148" t="s">
        <v>1245</v>
      </c>
      <c r="E29" s="149" t="s">
        <v>1246</v>
      </c>
      <c r="F29" s="68"/>
    </row>
    <row r="30" spans="1:6" x14ac:dyDescent="0.3">
      <c r="A30" s="146" t="s">
        <v>1247</v>
      </c>
      <c r="B30" s="114"/>
      <c r="C30" s="115"/>
      <c r="D30" s="148" t="s">
        <v>1248</v>
      </c>
      <c r="E30" s="149" t="s">
        <v>1249</v>
      </c>
      <c r="F30" s="68"/>
    </row>
    <row r="31" spans="1:6" x14ac:dyDescent="0.3">
      <c r="A31" s="146" t="s">
        <v>1250</v>
      </c>
      <c r="B31" s="114"/>
      <c r="C31" s="115"/>
      <c r="D31" s="148" t="s">
        <v>1251</v>
      </c>
      <c r="E31" s="149" t="s">
        <v>1252</v>
      </c>
      <c r="F31" s="68"/>
    </row>
    <row r="32" spans="1:6" x14ac:dyDescent="0.3">
      <c r="A32" s="146" t="s">
        <v>1253</v>
      </c>
      <c r="B32" s="114"/>
      <c r="C32" s="115"/>
      <c r="D32" s="148" t="s">
        <v>1254</v>
      </c>
      <c r="E32" s="149" t="s">
        <v>1255</v>
      </c>
      <c r="F32" s="68"/>
    </row>
    <row r="33" spans="1:6" x14ac:dyDescent="0.3">
      <c r="A33" s="146" t="s">
        <v>1256</v>
      </c>
      <c r="B33" s="114"/>
      <c r="C33" s="115"/>
      <c r="D33" s="148" t="s">
        <v>1257</v>
      </c>
      <c r="E33" s="149" t="s">
        <v>1258</v>
      </c>
      <c r="F33" s="68"/>
    </row>
    <row r="34" spans="1:6" x14ac:dyDescent="0.3">
      <c r="A34" s="146" t="s">
        <v>1259</v>
      </c>
      <c r="B34" s="114"/>
      <c r="C34" s="115"/>
      <c r="D34" s="148" t="s">
        <v>1260</v>
      </c>
      <c r="E34" s="152" t="s">
        <v>1261</v>
      </c>
      <c r="F34" s="68"/>
    </row>
    <row r="35" spans="1:6" x14ac:dyDescent="0.3">
      <c r="A35" s="146" t="s">
        <v>1262</v>
      </c>
      <c r="B35" s="114"/>
      <c r="C35" s="115"/>
      <c r="D35" s="148" t="s">
        <v>1263</v>
      </c>
      <c r="E35" s="152" t="s">
        <v>1264</v>
      </c>
      <c r="F35" s="68"/>
    </row>
    <row r="36" spans="1:6" x14ac:dyDescent="0.3">
      <c r="A36" s="146" t="s">
        <v>1265</v>
      </c>
      <c r="B36" s="114"/>
      <c r="C36" s="115"/>
      <c r="D36" s="148" t="s">
        <v>1266</v>
      </c>
      <c r="E36" s="149" t="s">
        <v>1267</v>
      </c>
      <c r="F36" s="68"/>
    </row>
    <row r="37" spans="1:6" x14ac:dyDescent="0.3">
      <c r="A37" s="146" t="s">
        <v>1268</v>
      </c>
      <c r="B37" s="114"/>
      <c r="C37" s="115"/>
      <c r="D37" s="116" t="s">
        <v>1269</v>
      </c>
      <c r="E37" s="149" t="s">
        <v>1270</v>
      </c>
      <c r="F37" s="68"/>
    </row>
    <row r="38" spans="1:6" x14ac:dyDescent="0.3">
      <c r="A38" s="146" t="s">
        <v>1271</v>
      </c>
      <c r="B38" s="114"/>
      <c r="C38" s="115"/>
      <c r="D38" s="116" t="s">
        <v>1272</v>
      </c>
      <c r="E38" s="149" t="s">
        <v>1273</v>
      </c>
      <c r="F38" s="68"/>
    </row>
    <row r="39" spans="1:6" x14ac:dyDescent="0.3">
      <c r="A39" s="146" t="s">
        <v>1274</v>
      </c>
      <c r="B39" s="114"/>
      <c r="C39" s="115"/>
      <c r="D39" s="148" t="s">
        <v>1275</v>
      </c>
      <c r="E39" s="149" t="s">
        <v>1276</v>
      </c>
      <c r="F39" s="68"/>
    </row>
    <row r="40" spans="1:6" x14ac:dyDescent="0.3">
      <c r="A40" s="146" t="s">
        <v>1274</v>
      </c>
      <c r="B40" s="114"/>
      <c r="C40" s="115"/>
      <c r="D40" s="148" t="s">
        <v>1277</v>
      </c>
      <c r="E40" s="152" t="s">
        <v>1278</v>
      </c>
      <c r="F40" s="68"/>
    </row>
    <row r="41" spans="1:6" x14ac:dyDescent="0.3">
      <c r="A41" s="146" t="s">
        <v>1279</v>
      </c>
      <c r="B41" s="114"/>
      <c r="C41" s="115"/>
      <c r="D41" s="148" t="s">
        <v>1280</v>
      </c>
      <c r="E41" s="149" t="s">
        <v>1281</v>
      </c>
      <c r="F41" s="68"/>
    </row>
    <row r="42" spans="1:6" x14ac:dyDescent="0.3">
      <c r="A42" s="146" t="s">
        <v>1282</v>
      </c>
      <c r="B42" s="114"/>
      <c r="C42" s="115"/>
      <c r="D42" s="148" t="s">
        <v>1283</v>
      </c>
      <c r="E42" s="152" t="s">
        <v>1284</v>
      </c>
      <c r="F42" s="68"/>
    </row>
    <row r="43" spans="1:6" x14ac:dyDescent="0.3">
      <c r="A43" s="113" t="s">
        <v>1285</v>
      </c>
      <c r="B43" s="114"/>
      <c r="C43" s="115"/>
      <c r="D43" s="148" t="s">
        <v>1286</v>
      </c>
      <c r="E43" s="149" t="s">
        <v>1287</v>
      </c>
      <c r="F43" s="68"/>
    </row>
    <row r="44" spans="1:6" x14ac:dyDescent="0.3">
      <c r="A44" s="113" t="s">
        <v>1288</v>
      </c>
      <c r="B44" s="114"/>
      <c r="C44" s="115"/>
      <c r="D44" s="148" t="s">
        <v>1289</v>
      </c>
      <c r="E44" s="149" t="s">
        <v>1290</v>
      </c>
      <c r="F44" s="68"/>
    </row>
    <row r="45" spans="1:6" x14ac:dyDescent="0.3">
      <c r="A45" s="113" t="s">
        <v>1291</v>
      </c>
      <c r="B45" s="114"/>
      <c r="C45" s="115"/>
      <c r="D45" s="148" t="s">
        <v>1292</v>
      </c>
      <c r="E45" s="149" t="s">
        <v>1293</v>
      </c>
      <c r="F45" s="68"/>
    </row>
    <row r="46" spans="1:6" x14ac:dyDescent="0.3">
      <c r="A46" s="113" t="s">
        <v>1294</v>
      </c>
      <c r="B46" s="146" t="s">
        <v>1295</v>
      </c>
      <c r="C46" s="116" t="s">
        <v>1296</v>
      </c>
      <c r="D46" s="116" t="s">
        <v>1297</v>
      </c>
      <c r="E46" s="117"/>
      <c r="F46" s="68"/>
    </row>
    <row r="47" spans="1:6" x14ac:dyDescent="0.3">
      <c r="A47" s="113" t="s">
        <v>1298</v>
      </c>
      <c r="B47" s="114"/>
      <c r="C47" s="115"/>
      <c r="D47" s="116" t="s">
        <v>1299</v>
      </c>
      <c r="E47" s="116" t="s">
        <v>1300</v>
      </c>
      <c r="F47" s="68"/>
    </row>
    <row r="48" spans="1:6" x14ac:dyDescent="0.3">
      <c r="A48" s="113" t="s">
        <v>1301</v>
      </c>
      <c r="B48" s="114"/>
      <c r="C48" s="115"/>
      <c r="D48" s="116" t="s">
        <v>1302</v>
      </c>
      <c r="E48" s="116" t="s">
        <v>1303</v>
      </c>
      <c r="F48" s="68"/>
    </row>
    <row r="49" spans="1:6" x14ac:dyDescent="0.3">
      <c r="A49" s="113" t="s">
        <v>1304</v>
      </c>
      <c r="B49" s="114"/>
      <c r="C49" s="115"/>
      <c r="D49" s="116" t="s">
        <v>1305</v>
      </c>
      <c r="E49" s="116" t="s">
        <v>1306</v>
      </c>
      <c r="F49" s="68"/>
    </row>
    <row r="50" spans="1:6" x14ac:dyDescent="0.3">
      <c r="A50" s="113" t="s">
        <v>1307</v>
      </c>
      <c r="B50" s="114"/>
      <c r="C50" s="115"/>
      <c r="D50" s="116" t="s">
        <v>1308</v>
      </c>
      <c r="E50" s="116" t="s">
        <v>1309</v>
      </c>
      <c r="F50" s="68"/>
    </row>
    <row r="51" spans="1:6" x14ac:dyDescent="0.3">
      <c r="A51" s="113" t="s">
        <v>1310</v>
      </c>
      <c r="B51" s="114"/>
      <c r="C51" s="115"/>
      <c r="D51" s="116" t="s">
        <v>1311</v>
      </c>
      <c r="E51" s="116" t="s">
        <v>1312</v>
      </c>
      <c r="F51" s="68"/>
    </row>
    <row r="52" spans="1:6" x14ac:dyDescent="0.3">
      <c r="A52" s="113" t="s">
        <v>1313</v>
      </c>
      <c r="B52" s="114"/>
      <c r="C52" s="115"/>
      <c r="D52" s="116"/>
      <c r="E52" s="116" t="s">
        <v>1314</v>
      </c>
      <c r="F52" s="68"/>
    </row>
    <row r="53" spans="1:6" x14ac:dyDescent="0.3">
      <c r="A53" s="113" t="s">
        <v>1315</v>
      </c>
      <c r="B53" s="114"/>
      <c r="C53" s="115"/>
      <c r="D53" s="116" t="s">
        <v>1316</v>
      </c>
      <c r="E53" s="116" t="s">
        <v>1317</v>
      </c>
      <c r="F53" s="68"/>
    </row>
    <row r="54" spans="1:6" x14ac:dyDescent="0.3">
      <c r="A54" s="113" t="s">
        <v>1318</v>
      </c>
      <c r="B54" s="114"/>
      <c r="C54" s="115"/>
      <c r="D54" s="116" t="s">
        <v>1319</v>
      </c>
      <c r="E54" s="116" t="s">
        <v>1320</v>
      </c>
      <c r="F54" s="68"/>
    </row>
    <row r="55" spans="1:6" x14ac:dyDescent="0.3">
      <c r="A55" s="113" t="s">
        <v>1321</v>
      </c>
      <c r="B55" s="114"/>
      <c r="C55" s="116" t="s">
        <v>1322</v>
      </c>
      <c r="D55" s="116" t="s">
        <v>1323</v>
      </c>
      <c r="E55" s="117"/>
      <c r="F55" s="68"/>
    </row>
    <row r="56" spans="1:6" x14ac:dyDescent="0.3">
      <c r="A56" s="113" t="s">
        <v>1324</v>
      </c>
      <c r="B56" s="114"/>
      <c r="C56" s="115"/>
      <c r="D56" s="116" t="s">
        <v>1325</v>
      </c>
      <c r="E56" s="116" t="s">
        <v>1326</v>
      </c>
      <c r="F56" s="68"/>
    </row>
    <row r="57" spans="1:6" x14ac:dyDescent="0.3">
      <c r="A57" s="113" t="s">
        <v>1327</v>
      </c>
      <c r="B57" s="114"/>
      <c r="C57" s="115"/>
      <c r="D57" s="116" t="s">
        <v>1328</v>
      </c>
      <c r="E57" s="116" t="s">
        <v>1329</v>
      </c>
      <c r="F57" s="68"/>
    </row>
    <row r="58" spans="1:6" x14ac:dyDescent="0.3">
      <c r="A58" s="113" t="s">
        <v>1330</v>
      </c>
      <c r="B58" s="114"/>
      <c r="C58" s="115"/>
      <c r="D58" s="116" t="s">
        <v>1331</v>
      </c>
      <c r="E58" s="116" t="s">
        <v>1332</v>
      </c>
      <c r="F58" s="68"/>
    </row>
    <row r="59" spans="1:6" x14ac:dyDescent="0.3">
      <c r="A59" s="113" t="s">
        <v>1330</v>
      </c>
      <c r="B59" s="114"/>
      <c r="C59" s="115"/>
      <c r="D59" s="116" t="s">
        <v>1333</v>
      </c>
      <c r="E59" s="116" t="s">
        <v>1334</v>
      </c>
      <c r="F59" s="68"/>
    </row>
    <row r="60" spans="1:6" x14ac:dyDescent="0.3">
      <c r="A60" s="113" t="s">
        <v>1335</v>
      </c>
      <c r="B60" s="114"/>
      <c r="C60" s="115"/>
      <c r="D60" s="116" t="s">
        <v>1336</v>
      </c>
      <c r="E60" s="116" t="s">
        <v>1337</v>
      </c>
      <c r="F60" s="68"/>
    </row>
    <row r="61" spans="1:6" x14ac:dyDescent="0.3">
      <c r="A61" s="113" t="s">
        <v>1338</v>
      </c>
      <c r="B61" s="114"/>
      <c r="C61" s="115"/>
      <c r="D61" s="116" t="s">
        <v>1339</v>
      </c>
      <c r="E61" s="116" t="s">
        <v>1340</v>
      </c>
      <c r="F61" s="68"/>
    </row>
    <row r="62" spans="1:6" x14ac:dyDescent="0.3">
      <c r="A62" s="113" t="s">
        <v>1341</v>
      </c>
      <c r="B62" s="114"/>
      <c r="C62" s="115"/>
      <c r="D62" s="148" t="s">
        <v>1342</v>
      </c>
      <c r="E62" s="149" t="s">
        <v>1343</v>
      </c>
      <c r="F62" s="68"/>
    </row>
    <row r="63" spans="1:6" x14ac:dyDescent="0.3">
      <c r="A63" s="113" t="s">
        <v>1341</v>
      </c>
      <c r="B63" s="114"/>
      <c r="C63" s="115"/>
      <c r="D63" s="116" t="s">
        <v>1342</v>
      </c>
      <c r="E63" s="116" t="s">
        <v>1344</v>
      </c>
      <c r="F63" s="68"/>
    </row>
    <row r="64" spans="1:6" x14ac:dyDescent="0.3">
      <c r="A64" s="153"/>
      <c r="B64" s="113" t="s">
        <v>1345</v>
      </c>
      <c r="C64" s="116" t="s">
        <v>1346</v>
      </c>
      <c r="D64" s="116" t="s">
        <v>1347</v>
      </c>
      <c r="E64" s="116" t="s">
        <v>1348</v>
      </c>
      <c r="F64" s="68"/>
    </row>
    <row r="65" spans="1:6" x14ac:dyDescent="0.3">
      <c r="A65" s="113" t="s">
        <v>1349</v>
      </c>
      <c r="B65" s="114"/>
      <c r="C65" s="115"/>
      <c r="D65" s="116" t="s">
        <v>1350</v>
      </c>
      <c r="E65" s="116" t="s">
        <v>1351</v>
      </c>
      <c r="F65" s="68"/>
    </row>
    <row r="66" spans="1:6" x14ac:dyDescent="0.3">
      <c r="A66" s="113" t="s">
        <v>1352</v>
      </c>
      <c r="B66" s="114"/>
      <c r="C66" s="115"/>
      <c r="D66" s="116" t="s">
        <v>1353</v>
      </c>
      <c r="E66" s="116" t="s">
        <v>1354</v>
      </c>
      <c r="F66" s="68"/>
    </row>
    <row r="67" spans="1:6" x14ac:dyDescent="0.3">
      <c r="A67" s="113" t="s">
        <v>1355</v>
      </c>
      <c r="B67" s="114"/>
      <c r="C67" s="115"/>
      <c r="D67" s="116" t="s">
        <v>1356</v>
      </c>
      <c r="E67" s="116" t="s">
        <v>1357</v>
      </c>
      <c r="F67" s="68"/>
    </row>
    <row r="68" spans="1:6" x14ac:dyDescent="0.3">
      <c r="A68" s="113" t="s">
        <v>1355</v>
      </c>
      <c r="B68" s="114"/>
      <c r="C68" s="115"/>
      <c r="D68" s="116" t="s">
        <v>1356</v>
      </c>
      <c r="E68" s="116" t="s">
        <v>1357</v>
      </c>
      <c r="F68" s="68"/>
    </row>
    <row r="69" spans="1:6" x14ac:dyDescent="0.3">
      <c r="A69" s="113" t="s">
        <v>1358</v>
      </c>
      <c r="B69" s="114"/>
      <c r="C69" s="115"/>
      <c r="D69" s="116" t="s">
        <v>1359</v>
      </c>
      <c r="E69" s="116" t="s">
        <v>1360</v>
      </c>
      <c r="F69" s="68"/>
    </row>
    <row r="70" spans="1:6" x14ac:dyDescent="0.3">
      <c r="A70" s="113" t="s">
        <v>1361</v>
      </c>
      <c r="B70" s="114"/>
      <c r="C70" s="115"/>
      <c r="D70" s="116" t="s">
        <v>1362</v>
      </c>
      <c r="E70" s="116" t="s">
        <v>1363</v>
      </c>
      <c r="F70" s="68"/>
    </row>
    <row r="71" spans="1:6" x14ac:dyDescent="0.3">
      <c r="A71" s="113" t="s">
        <v>1364</v>
      </c>
      <c r="B71" s="114"/>
      <c r="C71" s="116" t="s">
        <v>1365</v>
      </c>
      <c r="D71" s="148" t="s">
        <v>1366</v>
      </c>
      <c r="E71" s="117"/>
      <c r="F71" s="68"/>
    </row>
    <row r="72" spans="1:6" x14ac:dyDescent="0.3">
      <c r="A72" s="113" t="s">
        <v>1367</v>
      </c>
      <c r="B72" s="114"/>
      <c r="C72" s="115"/>
      <c r="D72" s="116" t="s">
        <v>1368</v>
      </c>
      <c r="E72" s="116" t="s">
        <v>1369</v>
      </c>
      <c r="F72" s="68"/>
    </row>
    <row r="73" spans="1:6" x14ac:dyDescent="0.3">
      <c r="A73" s="113" t="s">
        <v>1370</v>
      </c>
      <c r="B73" s="114"/>
      <c r="C73" s="115"/>
      <c r="D73" s="148" t="s">
        <v>1371</v>
      </c>
      <c r="E73" s="116" t="s">
        <v>1372</v>
      </c>
      <c r="F73" s="68"/>
    </row>
    <row r="74" spans="1:6" x14ac:dyDescent="0.3">
      <c r="A74" s="113" t="s">
        <v>1373</v>
      </c>
      <c r="B74" s="114"/>
      <c r="C74" s="115"/>
      <c r="D74" s="116" t="s">
        <v>1374</v>
      </c>
      <c r="E74" s="116" t="s">
        <v>1375</v>
      </c>
      <c r="F74" s="68"/>
    </row>
    <row r="75" spans="1:6" x14ac:dyDescent="0.3">
      <c r="A75" s="146" t="s">
        <v>1376</v>
      </c>
      <c r="B75" s="114"/>
      <c r="C75" s="115"/>
      <c r="D75" s="148" t="s">
        <v>1377</v>
      </c>
      <c r="E75" s="148" t="s">
        <v>1378</v>
      </c>
      <c r="F75" s="68"/>
    </row>
    <row r="76" spans="1:6" x14ac:dyDescent="0.3">
      <c r="A76" s="146" t="s">
        <v>1379</v>
      </c>
      <c r="B76" s="114"/>
      <c r="C76" s="115"/>
      <c r="D76" s="148" t="s">
        <v>1380</v>
      </c>
      <c r="E76" s="148" t="s">
        <v>1381</v>
      </c>
      <c r="F76" s="68"/>
    </row>
    <row r="77" spans="1:6" x14ac:dyDescent="0.3">
      <c r="A77" s="113" t="s">
        <v>1382</v>
      </c>
      <c r="B77" s="114"/>
      <c r="C77" s="115"/>
      <c r="D77" s="148" t="s">
        <v>1383</v>
      </c>
      <c r="E77" s="116" t="s">
        <v>1384</v>
      </c>
      <c r="F77" s="68"/>
    </row>
    <row r="78" spans="1:6" x14ac:dyDescent="0.3">
      <c r="A78" s="146" t="s">
        <v>1385</v>
      </c>
      <c r="B78" s="114"/>
      <c r="C78" s="115"/>
      <c r="D78" s="148" t="s">
        <v>1386</v>
      </c>
      <c r="E78" s="148" t="s">
        <v>1387</v>
      </c>
      <c r="F78" s="68"/>
    </row>
    <row r="79" spans="1:6" x14ac:dyDescent="0.3">
      <c r="A79" s="113" t="s">
        <v>1388</v>
      </c>
      <c r="B79" s="114"/>
      <c r="C79" s="115"/>
      <c r="D79" s="116" t="s">
        <v>1389</v>
      </c>
      <c r="E79" s="116" t="s">
        <v>1390</v>
      </c>
      <c r="F79" s="68"/>
    </row>
    <row r="80" spans="1:6" x14ac:dyDescent="0.3">
      <c r="A80" s="113" t="s">
        <v>1391</v>
      </c>
      <c r="B80" s="114"/>
      <c r="C80" s="115"/>
      <c r="D80" s="116" t="s">
        <v>1392</v>
      </c>
      <c r="E80" s="116" t="s">
        <v>1393</v>
      </c>
      <c r="F80" s="68"/>
    </row>
    <row r="81" spans="1:6" x14ac:dyDescent="0.3">
      <c r="A81" s="146" t="s">
        <v>1394</v>
      </c>
      <c r="B81" s="114"/>
      <c r="C81" s="148" t="s">
        <v>1395</v>
      </c>
      <c r="D81" s="148" t="s">
        <v>1396</v>
      </c>
      <c r="E81" s="117"/>
      <c r="F81" s="68"/>
    </row>
    <row r="82" spans="1:6" x14ac:dyDescent="0.3">
      <c r="A82" s="113" t="s">
        <v>1397</v>
      </c>
      <c r="B82" s="114"/>
      <c r="C82" s="115"/>
      <c r="D82" s="148" t="s">
        <v>1398</v>
      </c>
      <c r="E82" s="116" t="s">
        <v>1399</v>
      </c>
      <c r="F82" s="68"/>
    </row>
    <row r="83" spans="1:6" x14ac:dyDescent="0.3">
      <c r="A83" s="113" t="s">
        <v>1397</v>
      </c>
      <c r="B83" s="114"/>
      <c r="C83" s="115"/>
      <c r="D83" s="148" t="s">
        <v>1400</v>
      </c>
      <c r="E83" s="116" t="s">
        <v>1401</v>
      </c>
      <c r="F83" s="68"/>
    </row>
    <row r="84" spans="1:6" x14ac:dyDescent="0.3">
      <c r="A84" s="113" t="s">
        <v>1402</v>
      </c>
      <c r="B84" s="114"/>
      <c r="C84" s="116" t="s">
        <v>1403</v>
      </c>
      <c r="D84" s="148" t="s">
        <v>1404</v>
      </c>
      <c r="E84" s="117"/>
      <c r="F84" s="68"/>
    </row>
    <row r="85" spans="1:6" x14ac:dyDescent="0.3">
      <c r="A85" s="113" t="s">
        <v>1405</v>
      </c>
      <c r="B85" s="114"/>
      <c r="C85" s="115"/>
      <c r="D85" s="116" t="s">
        <v>1406</v>
      </c>
      <c r="E85" s="116" t="s">
        <v>1407</v>
      </c>
      <c r="F85" s="68"/>
    </row>
    <row r="86" spans="1:6" x14ac:dyDescent="0.3">
      <c r="A86" s="113" t="s">
        <v>1408</v>
      </c>
      <c r="B86" s="114"/>
      <c r="C86" s="116" t="s">
        <v>1409</v>
      </c>
      <c r="D86" s="116" t="s">
        <v>1410</v>
      </c>
      <c r="E86" s="117"/>
      <c r="F86" s="68"/>
    </row>
    <row r="87" spans="1:6" x14ac:dyDescent="0.3">
      <c r="A87" s="113" t="s">
        <v>1411</v>
      </c>
      <c r="B87" s="114"/>
      <c r="C87" s="115"/>
      <c r="D87" s="148" t="s">
        <v>1412</v>
      </c>
      <c r="E87" s="116" t="s">
        <v>1413</v>
      </c>
      <c r="F87" s="68"/>
    </row>
    <row r="88" spans="1:6" x14ac:dyDescent="0.3">
      <c r="A88" s="113" t="s">
        <v>1414</v>
      </c>
      <c r="B88" s="114"/>
      <c r="C88" s="116" t="s">
        <v>1415</v>
      </c>
      <c r="D88" s="116" t="s">
        <v>1416</v>
      </c>
      <c r="E88" s="117"/>
      <c r="F88" s="68"/>
    </row>
    <row r="89" spans="1:6" x14ac:dyDescent="0.3">
      <c r="A89" s="113" t="s">
        <v>1417</v>
      </c>
      <c r="B89" s="114"/>
      <c r="C89" s="115"/>
      <c r="D89" s="116" t="s">
        <v>1418</v>
      </c>
      <c r="E89" s="116" t="s">
        <v>1419</v>
      </c>
      <c r="F89" s="68"/>
    </row>
    <row r="90" spans="1:6" x14ac:dyDescent="0.3">
      <c r="A90" s="113" t="s">
        <v>1417</v>
      </c>
      <c r="B90" s="114"/>
      <c r="C90" s="116" t="s">
        <v>1420</v>
      </c>
      <c r="D90" s="116" t="s">
        <v>1421</v>
      </c>
      <c r="E90" s="117"/>
      <c r="F90" s="68"/>
    </row>
    <row r="91" spans="1:6" x14ac:dyDescent="0.3">
      <c r="A91" s="113" t="s">
        <v>1422</v>
      </c>
      <c r="B91" s="114"/>
      <c r="C91" s="115"/>
      <c r="D91" s="148" t="s">
        <v>1423</v>
      </c>
      <c r="E91" s="116" t="s">
        <v>1424</v>
      </c>
      <c r="F91" s="68"/>
    </row>
    <row r="92" spans="1:6" x14ac:dyDescent="0.3">
      <c r="A92" s="146" t="s">
        <v>1425</v>
      </c>
      <c r="B92" s="114"/>
      <c r="C92" s="115"/>
      <c r="D92" s="148" t="s">
        <v>1426</v>
      </c>
      <c r="E92" s="149" t="s">
        <v>1427</v>
      </c>
      <c r="F92" s="68"/>
    </row>
    <row r="93" spans="1:6" x14ac:dyDescent="0.3">
      <c r="A93" s="146" t="s">
        <v>1417</v>
      </c>
      <c r="B93" s="114"/>
      <c r="C93" s="115"/>
      <c r="D93" s="148" t="s">
        <v>1428</v>
      </c>
      <c r="E93" s="149" t="s">
        <v>1429</v>
      </c>
      <c r="F93" s="68"/>
    </row>
    <row r="94" spans="1:6" x14ac:dyDescent="0.3">
      <c r="A94" s="113" t="s">
        <v>1430</v>
      </c>
      <c r="B94" s="114"/>
      <c r="C94" s="115"/>
      <c r="D94" s="148" t="s">
        <v>1431</v>
      </c>
      <c r="E94" s="116" t="s">
        <v>1432</v>
      </c>
      <c r="F94" s="68"/>
    </row>
    <row r="95" spans="1:6" x14ac:dyDescent="0.3">
      <c r="A95" s="113" t="s">
        <v>1433</v>
      </c>
      <c r="B95" s="114"/>
      <c r="C95" s="115"/>
      <c r="D95" s="148" t="s">
        <v>1434</v>
      </c>
      <c r="E95" s="116" t="s">
        <v>1435</v>
      </c>
      <c r="F95" s="68"/>
    </row>
    <row r="96" spans="1:6" x14ac:dyDescent="0.3">
      <c r="A96" s="113" t="s">
        <v>1436</v>
      </c>
      <c r="B96" s="114"/>
      <c r="C96" s="115"/>
      <c r="D96" s="148" t="s">
        <v>1437</v>
      </c>
      <c r="E96" s="116" t="s">
        <v>1438</v>
      </c>
      <c r="F96" s="68"/>
    </row>
    <row r="97" spans="1:6" x14ac:dyDescent="0.3">
      <c r="A97" s="113" t="s">
        <v>1439</v>
      </c>
      <c r="B97" s="114"/>
      <c r="C97" s="115"/>
      <c r="D97" s="148" t="s">
        <v>1440</v>
      </c>
      <c r="E97" s="116" t="s">
        <v>1441</v>
      </c>
      <c r="F97" s="68"/>
    </row>
    <row r="98" spans="1:6" x14ac:dyDescent="0.3">
      <c r="A98" s="113" t="s">
        <v>1442</v>
      </c>
      <c r="B98" s="114"/>
      <c r="C98" s="115"/>
      <c r="D98" s="148" t="s">
        <v>1443</v>
      </c>
      <c r="E98" s="116" t="s">
        <v>1444</v>
      </c>
      <c r="F98" s="68"/>
    </row>
    <row r="99" spans="1:6" x14ac:dyDescent="0.3">
      <c r="A99" s="113" t="s">
        <v>1445</v>
      </c>
      <c r="B99" s="114"/>
      <c r="C99" s="115"/>
      <c r="D99" s="148" t="s">
        <v>1446</v>
      </c>
      <c r="E99" s="116" t="s">
        <v>1447</v>
      </c>
      <c r="F99" s="68"/>
    </row>
    <row r="100" spans="1:6" x14ac:dyDescent="0.3">
      <c r="A100" s="113" t="s">
        <v>1448</v>
      </c>
      <c r="B100" s="114"/>
      <c r="C100" s="115"/>
      <c r="D100" s="116" t="s">
        <v>1449</v>
      </c>
      <c r="E100" s="116" t="s">
        <v>1450</v>
      </c>
      <c r="F100" s="68"/>
    </row>
    <row r="101" spans="1:6" x14ac:dyDescent="0.3">
      <c r="A101" s="113" t="s">
        <v>1448</v>
      </c>
      <c r="B101" s="113" t="s">
        <v>1451</v>
      </c>
      <c r="C101" s="116" t="s">
        <v>1452</v>
      </c>
      <c r="D101" s="148" t="s">
        <v>1453</v>
      </c>
      <c r="E101" s="117"/>
      <c r="F101" s="68"/>
    </row>
    <row r="102" spans="1:6" x14ac:dyDescent="0.3">
      <c r="A102" s="113" t="s">
        <v>1454</v>
      </c>
      <c r="B102" s="114"/>
      <c r="C102" s="115"/>
      <c r="D102" s="116" t="s">
        <v>1455</v>
      </c>
      <c r="E102" s="116" t="s">
        <v>1456</v>
      </c>
      <c r="F102" s="68"/>
    </row>
    <row r="103" spans="1:6" x14ac:dyDescent="0.3">
      <c r="A103" s="113" t="s">
        <v>1454</v>
      </c>
      <c r="B103" s="114"/>
      <c r="C103" s="115"/>
      <c r="D103" s="116" t="s">
        <v>1457</v>
      </c>
      <c r="E103" s="116" t="s">
        <v>1458</v>
      </c>
      <c r="F103" s="68"/>
    </row>
    <row r="104" spans="1:6" x14ac:dyDescent="0.3">
      <c r="A104" s="113" t="s">
        <v>1454</v>
      </c>
      <c r="B104" s="114"/>
      <c r="C104" s="115"/>
      <c r="D104" s="116" t="s">
        <v>1459</v>
      </c>
      <c r="E104" s="116" t="s">
        <v>1460</v>
      </c>
      <c r="F104" s="68"/>
    </row>
    <row r="105" spans="1:6" x14ac:dyDescent="0.3">
      <c r="A105" s="113" t="s">
        <v>1461</v>
      </c>
      <c r="B105" s="114"/>
      <c r="C105" s="115"/>
      <c r="D105" s="116" t="s">
        <v>1462</v>
      </c>
      <c r="E105" s="116" t="s">
        <v>1463</v>
      </c>
      <c r="F105" s="68"/>
    </row>
    <row r="106" spans="1:6" x14ac:dyDescent="0.3">
      <c r="A106" s="113" t="s">
        <v>1464</v>
      </c>
      <c r="B106" s="114"/>
      <c r="C106" s="115"/>
      <c r="D106" s="116" t="s">
        <v>1465</v>
      </c>
      <c r="E106" s="116" t="s">
        <v>1466</v>
      </c>
      <c r="F106" s="68"/>
    </row>
    <row r="107" spans="1:6" x14ac:dyDescent="0.3">
      <c r="A107" s="113" t="s">
        <v>1467</v>
      </c>
      <c r="B107" s="114"/>
      <c r="C107" s="115"/>
      <c r="D107" s="116" t="s">
        <v>1468</v>
      </c>
      <c r="E107" s="116" t="s">
        <v>1469</v>
      </c>
      <c r="F107" s="68"/>
    </row>
    <row r="108" spans="1:6" x14ac:dyDescent="0.3">
      <c r="A108" s="113" t="s">
        <v>1470</v>
      </c>
      <c r="B108" s="114"/>
      <c r="C108" s="115"/>
      <c r="D108" s="116" t="s">
        <v>1471</v>
      </c>
      <c r="E108" s="116" t="s">
        <v>1472</v>
      </c>
      <c r="F108" s="68"/>
    </row>
    <row r="109" spans="1:6" x14ac:dyDescent="0.3">
      <c r="A109" s="113" t="s">
        <v>1473</v>
      </c>
      <c r="B109" s="114"/>
      <c r="C109" s="115"/>
      <c r="D109" s="116" t="s">
        <v>1474</v>
      </c>
      <c r="E109" s="116" t="s">
        <v>1475</v>
      </c>
      <c r="F109" s="68"/>
    </row>
    <row r="110" spans="1:6" x14ac:dyDescent="0.3">
      <c r="A110" s="113" t="s">
        <v>1476</v>
      </c>
      <c r="B110" s="114"/>
      <c r="C110" s="115"/>
      <c r="D110" s="116" t="s">
        <v>1477</v>
      </c>
      <c r="E110" s="116" t="s">
        <v>1478</v>
      </c>
      <c r="F110" s="68"/>
    </row>
    <row r="111" spans="1:6" x14ac:dyDescent="0.3">
      <c r="A111" s="113" t="s">
        <v>1479</v>
      </c>
      <c r="B111" s="114"/>
      <c r="C111" s="115"/>
      <c r="D111" s="116" t="s">
        <v>1480</v>
      </c>
      <c r="E111" s="116" t="s">
        <v>1481</v>
      </c>
      <c r="F111" s="68"/>
    </row>
    <row r="112" spans="1:6" x14ac:dyDescent="0.3">
      <c r="A112" s="113" t="s">
        <v>1482</v>
      </c>
      <c r="B112" s="114"/>
      <c r="C112" s="115"/>
      <c r="D112" s="116" t="s">
        <v>1483</v>
      </c>
      <c r="E112" s="116" t="s">
        <v>1484</v>
      </c>
      <c r="F112" s="68"/>
    </row>
    <row r="113" spans="1:6" x14ac:dyDescent="0.3">
      <c r="A113" s="113" t="s">
        <v>1485</v>
      </c>
      <c r="B113" s="114"/>
      <c r="C113" s="116" t="s">
        <v>1486</v>
      </c>
      <c r="D113" s="116" t="s">
        <v>1487</v>
      </c>
      <c r="E113" s="117"/>
      <c r="F113" s="68"/>
    </row>
    <row r="114" spans="1:6" x14ac:dyDescent="0.3">
      <c r="A114" s="113" t="s">
        <v>1485</v>
      </c>
      <c r="B114" s="114"/>
      <c r="C114" s="115"/>
      <c r="D114" s="148" t="s">
        <v>1488</v>
      </c>
      <c r="E114" s="149" t="s">
        <v>1489</v>
      </c>
      <c r="F114" s="68"/>
    </row>
    <row r="115" spans="1:6" x14ac:dyDescent="0.3">
      <c r="A115" s="113" t="s">
        <v>1490</v>
      </c>
      <c r="B115" s="114"/>
      <c r="C115" s="115"/>
      <c r="D115" s="116" t="s">
        <v>1491</v>
      </c>
      <c r="E115" s="116" t="s">
        <v>1492</v>
      </c>
      <c r="F115" s="68"/>
    </row>
    <row r="116" spans="1:6" x14ac:dyDescent="0.3">
      <c r="A116" s="113" t="s">
        <v>1493</v>
      </c>
      <c r="B116" s="114"/>
      <c r="C116" s="116" t="s">
        <v>1494</v>
      </c>
      <c r="D116" s="116" t="s">
        <v>1495</v>
      </c>
      <c r="E116" s="117"/>
      <c r="F116" s="68"/>
    </row>
    <row r="117" spans="1:6" x14ac:dyDescent="0.3">
      <c r="A117" s="113" t="s">
        <v>1496</v>
      </c>
      <c r="B117" s="114"/>
      <c r="C117" s="115"/>
      <c r="D117" s="116" t="s">
        <v>1497</v>
      </c>
      <c r="E117" s="116" t="s">
        <v>1498</v>
      </c>
      <c r="F117" s="68"/>
    </row>
    <row r="118" spans="1:6" x14ac:dyDescent="0.3">
      <c r="A118" s="113" t="s">
        <v>1499</v>
      </c>
      <c r="B118" s="114"/>
      <c r="C118" s="115"/>
      <c r="D118" s="116" t="s">
        <v>1500</v>
      </c>
      <c r="E118" s="116" t="s">
        <v>1501</v>
      </c>
      <c r="F118" s="68"/>
    </row>
    <row r="119" spans="1:6" x14ac:dyDescent="0.3">
      <c r="A119" s="113" t="s">
        <v>1502</v>
      </c>
      <c r="B119" s="114"/>
      <c r="C119" s="115"/>
      <c r="D119" s="116" t="s">
        <v>1503</v>
      </c>
      <c r="E119" s="116" t="s">
        <v>1504</v>
      </c>
      <c r="F119" s="68"/>
    </row>
    <row r="120" spans="1:6" x14ac:dyDescent="0.3">
      <c r="A120" s="113" t="s">
        <v>1505</v>
      </c>
      <c r="B120" s="114"/>
      <c r="C120" s="115"/>
      <c r="D120" s="116" t="s">
        <v>1506</v>
      </c>
      <c r="E120" s="116" t="s">
        <v>1507</v>
      </c>
      <c r="F120" s="68"/>
    </row>
    <row r="121" spans="1:6" x14ac:dyDescent="0.3">
      <c r="A121" s="113" t="s">
        <v>1508</v>
      </c>
      <c r="B121" s="114"/>
      <c r="C121" s="115"/>
      <c r="D121" s="116" t="s">
        <v>1509</v>
      </c>
      <c r="E121" s="116" t="s">
        <v>1510</v>
      </c>
      <c r="F121" s="68"/>
    </row>
    <row r="122" spans="1:6" x14ac:dyDescent="0.3">
      <c r="A122" s="113" t="s">
        <v>1511</v>
      </c>
      <c r="B122" s="113" t="s">
        <v>1512</v>
      </c>
      <c r="C122" s="116" t="s">
        <v>1513</v>
      </c>
      <c r="D122" s="116" t="s">
        <v>1514</v>
      </c>
      <c r="E122" s="117"/>
      <c r="F122" s="68"/>
    </row>
    <row r="123" spans="1:6" x14ac:dyDescent="0.3">
      <c r="A123" s="113" t="s">
        <v>1515</v>
      </c>
      <c r="B123" s="114"/>
      <c r="C123" s="116" t="s">
        <v>1516</v>
      </c>
      <c r="D123" s="116" t="s">
        <v>1517</v>
      </c>
      <c r="E123" s="117"/>
      <c r="F123" s="68"/>
    </row>
    <row r="124" spans="1:6" x14ac:dyDescent="0.3">
      <c r="A124" s="113" t="s">
        <v>1518</v>
      </c>
      <c r="B124" s="114"/>
      <c r="C124" s="115"/>
      <c r="D124" s="116" t="s">
        <v>1519</v>
      </c>
      <c r="E124" s="116" t="s">
        <v>1520</v>
      </c>
      <c r="F124" s="68"/>
    </row>
    <row r="125" spans="1:6" x14ac:dyDescent="0.3">
      <c r="A125" s="113" t="s">
        <v>1521</v>
      </c>
      <c r="B125" s="114"/>
      <c r="C125" s="115"/>
      <c r="D125" s="116" t="s">
        <v>1522</v>
      </c>
      <c r="E125" s="116" t="s">
        <v>1523</v>
      </c>
      <c r="F125" s="68"/>
    </row>
    <row r="126" spans="1:6" x14ac:dyDescent="0.3">
      <c r="A126" s="113" t="s">
        <v>1521</v>
      </c>
      <c r="B126" s="114"/>
      <c r="C126" s="115"/>
      <c r="D126" s="116" t="s">
        <v>1524</v>
      </c>
      <c r="E126" s="116" t="s">
        <v>1525</v>
      </c>
      <c r="F126" s="68"/>
    </row>
    <row r="127" spans="1:6" x14ac:dyDescent="0.3">
      <c r="A127" s="113" t="s">
        <v>1526</v>
      </c>
      <c r="B127" s="114"/>
      <c r="C127" s="115"/>
      <c r="D127" s="116" t="s">
        <v>1527</v>
      </c>
      <c r="E127" s="116" t="s">
        <v>1528</v>
      </c>
      <c r="F127" s="68"/>
    </row>
    <row r="128" spans="1:6" x14ac:dyDescent="0.3">
      <c r="A128" s="113" t="s">
        <v>1529</v>
      </c>
      <c r="B128" s="114"/>
      <c r="C128" s="115"/>
      <c r="D128" s="116" t="s">
        <v>1530</v>
      </c>
      <c r="E128" s="116" t="s">
        <v>1531</v>
      </c>
      <c r="F128" s="68"/>
    </row>
    <row r="129" spans="1:6" x14ac:dyDescent="0.3">
      <c r="A129" s="113" t="s">
        <v>1532</v>
      </c>
      <c r="B129" s="114"/>
      <c r="C129" s="115"/>
      <c r="D129" s="116" t="s">
        <v>1533</v>
      </c>
      <c r="E129" s="116" t="s">
        <v>1534</v>
      </c>
      <c r="F129" s="68"/>
    </row>
    <row r="130" spans="1:6" x14ac:dyDescent="0.3">
      <c r="A130" s="113" t="s">
        <v>1535</v>
      </c>
      <c r="B130" s="114"/>
      <c r="C130" s="115"/>
      <c r="D130" s="116" t="s">
        <v>1536</v>
      </c>
      <c r="E130" s="116">
        <v>160</v>
      </c>
      <c r="F130" s="68"/>
    </row>
    <row r="131" spans="1:6" x14ac:dyDescent="0.3">
      <c r="A131" s="113" t="s">
        <v>1537</v>
      </c>
      <c r="B131" s="114"/>
      <c r="C131" s="115"/>
      <c r="D131" s="116" t="s">
        <v>1538</v>
      </c>
      <c r="E131" s="116" t="s">
        <v>1539</v>
      </c>
      <c r="F131" s="68"/>
    </row>
    <row r="132" spans="1:6" x14ac:dyDescent="0.3">
      <c r="A132" s="113" t="s">
        <v>1540</v>
      </c>
      <c r="B132" s="114"/>
      <c r="C132" s="115"/>
      <c r="D132" s="116" t="s">
        <v>1541</v>
      </c>
      <c r="E132" s="116" t="s">
        <v>1542</v>
      </c>
      <c r="F132" s="68"/>
    </row>
    <row r="133" spans="1:6" x14ac:dyDescent="0.3">
      <c r="A133" s="113" t="s">
        <v>1543</v>
      </c>
      <c r="B133" s="114"/>
      <c r="C133" s="115"/>
      <c r="D133" s="116" t="s">
        <v>1544</v>
      </c>
      <c r="E133" s="116" t="s">
        <v>1545</v>
      </c>
      <c r="F133" s="68"/>
    </row>
    <row r="134" spans="1:6" x14ac:dyDescent="0.3">
      <c r="A134" s="113" t="s">
        <v>1546</v>
      </c>
      <c r="B134" s="114"/>
      <c r="C134" s="115"/>
      <c r="D134" s="116" t="s">
        <v>1547</v>
      </c>
      <c r="E134" s="116" t="s">
        <v>1548</v>
      </c>
      <c r="F134" s="68"/>
    </row>
    <row r="135" spans="1:6" x14ac:dyDescent="0.3">
      <c r="A135" s="113" t="s">
        <v>1549</v>
      </c>
      <c r="B135" s="114"/>
      <c r="C135" s="115"/>
      <c r="D135" s="116" t="s">
        <v>1550</v>
      </c>
      <c r="E135" s="116" t="s">
        <v>1551</v>
      </c>
      <c r="F135" s="68"/>
    </row>
    <row r="136" spans="1:6" x14ac:dyDescent="0.3">
      <c r="A136" s="113" t="s">
        <v>1552</v>
      </c>
      <c r="B136" s="114"/>
      <c r="C136" s="115"/>
      <c r="D136" s="116" t="s">
        <v>1553</v>
      </c>
      <c r="E136" s="116" t="s">
        <v>1554</v>
      </c>
      <c r="F136" s="68"/>
    </row>
    <row r="137" spans="1:6" x14ac:dyDescent="0.3">
      <c r="A137" s="113" t="s">
        <v>1555</v>
      </c>
      <c r="B137" s="113" t="s">
        <v>1556</v>
      </c>
      <c r="C137" s="116" t="s">
        <v>1557</v>
      </c>
      <c r="D137" s="116" t="s">
        <v>1558</v>
      </c>
      <c r="E137" s="117"/>
      <c r="F137" s="68"/>
    </row>
    <row r="138" spans="1:6" x14ac:dyDescent="0.3">
      <c r="A138" s="113" t="s">
        <v>1559</v>
      </c>
      <c r="B138" s="114"/>
      <c r="C138" s="115"/>
      <c r="D138" s="116" t="s">
        <v>1560</v>
      </c>
      <c r="E138" s="116" t="s">
        <v>1561</v>
      </c>
      <c r="F138" s="68"/>
    </row>
    <row r="139" spans="1:6" x14ac:dyDescent="0.3">
      <c r="A139" s="113" t="s">
        <v>1562</v>
      </c>
      <c r="B139" s="114"/>
      <c r="C139" s="115"/>
      <c r="D139" s="116" t="s">
        <v>1563</v>
      </c>
      <c r="E139" s="116" t="s">
        <v>1564</v>
      </c>
      <c r="F139" s="68"/>
    </row>
    <row r="140" spans="1:6" x14ac:dyDescent="0.3">
      <c r="A140" s="113" t="s">
        <v>1565</v>
      </c>
      <c r="B140" s="114"/>
      <c r="C140" s="115"/>
      <c r="D140" s="116" t="s">
        <v>1566</v>
      </c>
      <c r="E140" s="116" t="s">
        <v>1567</v>
      </c>
      <c r="F140" s="68"/>
    </row>
    <row r="141" spans="1:6" x14ac:dyDescent="0.3">
      <c r="A141" s="113" t="s">
        <v>1568</v>
      </c>
      <c r="B141" s="114"/>
      <c r="C141" s="115"/>
      <c r="D141" s="116" t="s">
        <v>1569</v>
      </c>
      <c r="E141" s="116" t="s">
        <v>1570</v>
      </c>
      <c r="F141" s="68"/>
    </row>
    <row r="142" spans="1:6" x14ac:dyDescent="0.3">
      <c r="A142" s="113" t="s">
        <v>1568</v>
      </c>
      <c r="B142" s="114"/>
      <c r="C142" s="115"/>
      <c r="D142" s="116" t="s">
        <v>1571</v>
      </c>
      <c r="E142" s="116" t="s">
        <v>1572</v>
      </c>
      <c r="F142" s="68"/>
    </row>
    <row r="143" spans="1:6" x14ac:dyDescent="0.3">
      <c r="A143" s="113" t="s">
        <v>1573</v>
      </c>
      <c r="B143" s="114"/>
      <c r="C143" s="115"/>
      <c r="D143" s="116" t="s">
        <v>1574</v>
      </c>
      <c r="E143" s="116" t="s">
        <v>1575</v>
      </c>
      <c r="F143" s="68"/>
    </row>
    <row r="144" spans="1:6" x14ac:dyDescent="0.3">
      <c r="A144" s="113" t="s">
        <v>1576</v>
      </c>
      <c r="B144" s="114"/>
      <c r="C144" s="115"/>
      <c r="D144" s="116" t="s">
        <v>1577</v>
      </c>
      <c r="E144" s="116" t="s">
        <v>1578</v>
      </c>
      <c r="F144" s="68"/>
    </row>
    <row r="145" spans="1:6" x14ac:dyDescent="0.3">
      <c r="A145" s="113" t="s">
        <v>1579</v>
      </c>
      <c r="B145" s="114"/>
      <c r="C145" s="115"/>
      <c r="D145" s="116" t="s">
        <v>1580</v>
      </c>
      <c r="E145" s="116" t="s">
        <v>1581</v>
      </c>
      <c r="F145" s="68"/>
    </row>
    <row r="146" spans="1:6" x14ac:dyDescent="0.3">
      <c r="A146" s="113" t="s">
        <v>1582</v>
      </c>
      <c r="B146" s="114"/>
      <c r="C146" s="115"/>
      <c r="D146" s="116" t="s">
        <v>1583</v>
      </c>
      <c r="E146" s="116" t="s">
        <v>1584</v>
      </c>
      <c r="F146" s="68"/>
    </row>
    <row r="147" spans="1:6" x14ac:dyDescent="0.3">
      <c r="A147" s="113" t="s">
        <v>1585</v>
      </c>
      <c r="B147" s="114"/>
      <c r="C147" s="115"/>
      <c r="D147" s="116" t="s">
        <v>1586</v>
      </c>
      <c r="E147" s="116" t="s">
        <v>1587</v>
      </c>
      <c r="F147" s="68"/>
    </row>
    <row r="148" spans="1:6" x14ac:dyDescent="0.3">
      <c r="A148" s="113" t="s">
        <v>1588</v>
      </c>
      <c r="B148" s="114"/>
      <c r="C148" s="116" t="s">
        <v>1589</v>
      </c>
      <c r="D148" s="116" t="s">
        <v>1590</v>
      </c>
      <c r="E148" s="117"/>
      <c r="F148" s="68"/>
    </row>
    <row r="149" spans="1:6" x14ac:dyDescent="0.3">
      <c r="A149" s="113" t="s">
        <v>1591</v>
      </c>
      <c r="B149" s="114"/>
      <c r="C149" s="115"/>
      <c r="D149" s="116" t="s">
        <v>1592</v>
      </c>
      <c r="E149" s="116" t="s">
        <v>1593</v>
      </c>
      <c r="F149" s="68"/>
    </row>
    <row r="150" spans="1:6" x14ac:dyDescent="0.3">
      <c r="A150" s="113" t="s">
        <v>1594</v>
      </c>
      <c r="B150" s="114"/>
      <c r="C150" s="115"/>
      <c r="D150" s="116" t="s">
        <v>1595</v>
      </c>
      <c r="E150" s="116" t="s">
        <v>1596</v>
      </c>
      <c r="F150" s="68"/>
    </row>
    <row r="151" spans="1:6" x14ac:dyDescent="0.3">
      <c r="A151" s="113" t="s">
        <v>1594</v>
      </c>
      <c r="B151" s="114"/>
      <c r="C151" s="115"/>
      <c r="D151" s="116" t="s">
        <v>1597</v>
      </c>
      <c r="E151" s="116" t="s">
        <v>1598</v>
      </c>
      <c r="F151" s="68"/>
    </row>
    <row r="152" spans="1:6" x14ac:dyDescent="0.3">
      <c r="A152" s="113" t="s">
        <v>1599</v>
      </c>
      <c r="B152" s="114"/>
      <c r="C152" s="115"/>
      <c r="D152" s="116" t="s">
        <v>1600</v>
      </c>
      <c r="E152" s="116" t="s">
        <v>1601</v>
      </c>
      <c r="F152" s="68"/>
    </row>
    <row r="153" spans="1:6" x14ac:dyDescent="0.3">
      <c r="A153" s="113" t="s">
        <v>1599</v>
      </c>
      <c r="B153" s="114"/>
      <c r="C153" s="116" t="s">
        <v>1602</v>
      </c>
      <c r="D153" s="116" t="s">
        <v>1603</v>
      </c>
      <c r="E153" s="117"/>
      <c r="F153" s="68"/>
    </row>
    <row r="154" spans="1:6" x14ac:dyDescent="0.3">
      <c r="A154" s="113" t="s">
        <v>1604</v>
      </c>
      <c r="B154" s="114"/>
      <c r="C154" s="115"/>
      <c r="D154" s="116" t="s">
        <v>1605</v>
      </c>
      <c r="E154" s="116" t="s">
        <v>1606</v>
      </c>
      <c r="F154" s="68"/>
    </row>
    <row r="155" spans="1:6" x14ac:dyDescent="0.3">
      <c r="A155" s="113" t="s">
        <v>1607</v>
      </c>
      <c r="B155" s="114"/>
      <c r="C155" s="115"/>
      <c r="D155" s="116" t="s">
        <v>1608</v>
      </c>
      <c r="E155" s="116" t="s">
        <v>1609</v>
      </c>
      <c r="F155" s="68"/>
    </row>
    <row r="156" spans="1:6" x14ac:dyDescent="0.3">
      <c r="A156" s="113" t="s">
        <v>1610</v>
      </c>
      <c r="B156" s="114"/>
      <c r="C156" s="115"/>
      <c r="D156" s="116" t="s">
        <v>1611</v>
      </c>
      <c r="E156" s="116" t="s">
        <v>1612</v>
      </c>
      <c r="F156" s="68"/>
    </row>
    <row r="157" spans="1:6" x14ac:dyDescent="0.3">
      <c r="A157" s="113" t="s">
        <v>1613</v>
      </c>
      <c r="B157" s="114"/>
      <c r="C157" s="116" t="s">
        <v>1614</v>
      </c>
      <c r="D157" s="116" t="s">
        <v>1615</v>
      </c>
      <c r="E157" s="117"/>
      <c r="F157" s="68"/>
    </row>
    <row r="158" spans="1:6" x14ac:dyDescent="0.3">
      <c r="A158" s="113" t="s">
        <v>1616</v>
      </c>
      <c r="B158" s="114"/>
      <c r="C158" s="115"/>
      <c r="D158" s="116" t="s">
        <v>1617</v>
      </c>
      <c r="E158" s="116" t="s">
        <v>1618</v>
      </c>
      <c r="F158" s="68"/>
    </row>
    <row r="159" spans="1:6" x14ac:dyDescent="0.3">
      <c r="A159" s="113" t="s">
        <v>1619</v>
      </c>
      <c r="B159" s="114"/>
      <c r="C159" s="115"/>
      <c r="D159" s="116" t="s">
        <v>1620</v>
      </c>
      <c r="E159" s="116"/>
      <c r="F159" s="68"/>
    </row>
    <row r="160" spans="1:6" x14ac:dyDescent="0.3">
      <c r="A160" s="113" t="s">
        <v>1621</v>
      </c>
      <c r="B160" s="114"/>
      <c r="C160" s="115"/>
      <c r="D160" s="116" t="s">
        <v>1622</v>
      </c>
      <c r="E160" s="116" t="s">
        <v>1623</v>
      </c>
      <c r="F160" s="68"/>
    </row>
    <row r="161" spans="1:6" x14ac:dyDescent="0.3">
      <c r="A161" s="113" t="s">
        <v>1624</v>
      </c>
      <c r="B161" s="114"/>
      <c r="C161" s="115"/>
      <c r="D161" s="116" t="s">
        <v>1625</v>
      </c>
      <c r="E161" s="116" t="s">
        <v>1626</v>
      </c>
      <c r="F161" s="68"/>
    </row>
    <row r="162" spans="1:6" x14ac:dyDescent="0.3">
      <c r="A162" s="113" t="s">
        <v>1624</v>
      </c>
      <c r="B162" s="114"/>
      <c r="C162" s="115"/>
      <c r="D162" s="116" t="s">
        <v>1627</v>
      </c>
      <c r="E162" s="116" t="s">
        <v>1628</v>
      </c>
      <c r="F162" s="68"/>
    </row>
    <row r="163" spans="1:6" x14ac:dyDescent="0.3">
      <c r="A163" s="113" t="s">
        <v>1629</v>
      </c>
      <c r="B163" s="114"/>
      <c r="C163" s="115"/>
      <c r="D163" s="116" t="s">
        <v>1630</v>
      </c>
      <c r="E163" s="116" t="s">
        <v>1631</v>
      </c>
      <c r="F163" s="68"/>
    </row>
    <row r="164" spans="1:6" x14ac:dyDescent="0.3">
      <c r="A164" s="113" t="s">
        <v>1632</v>
      </c>
      <c r="B164" s="114"/>
      <c r="C164" s="115"/>
      <c r="D164" s="116" t="s">
        <v>1633</v>
      </c>
      <c r="E164" s="116" t="s">
        <v>1634</v>
      </c>
      <c r="F164" s="68"/>
    </row>
    <row r="165" spans="1:6" x14ac:dyDescent="0.3">
      <c r="A165" s="113" t="s">
        <v>1635</v>
      </c>
      <c r="B165" s="114"/>
      <c r="C165" s="115"/>
      <c r="D165" s="116" t="s">
        <v>1636</v>
      </c>
      <c r="E165" s="116" t="s">
        <v>1637</v>
      </c>
      <c r="F165" s="68"/>
    </row>
    <row r="166" spans="1:6" x14ac:dyDescent="0.3">
      <c r="A166" s="113" t="s">
        <v>1638</v>
      </c>
      <c r="B166" s="114"/>
      <c r="C166" s="115"/>
      <c r="D166" s="116" t="s">
        <v>1639</v>
      </c>
      <c r="E166" s="116" t="s">
        <v>1640</v>
      </c>
      <c r="F166" s="68"/>
    </row>
    <row r="167" spans="1:6" x14ac:dyDescent="0.3">
      <c r="A167" s="113" t="s">
        <v>1641</v>
      </c>
      <c r="B167" s="114"/>
      <c r="C167" s="115"/>
      <c r="D167" s="116" t="s">
        <v>1642</v>
      </c>
      <c r="E167" s="116" t="s">
        <v>1643</v>
      </c>
      <c r="F167" s="68"/>
    </row>
    <row r="168" spans="1:6" x14ac:dyDescent="0.3">
      <c r="A168" s="113" t="s">
        <v>1644</v>
      </c>
      <c r="B168" s="114"/>
      <c r="C168" s="115"/>
      <c r="D168" s="116" t="s">
        <v>1645</v>
      </c>
      <c r="E168" s="116" t="s">
        <v>1646</v>
      </c>
      <c r="F168" s="68"/>
    </row>
    <row r="169" spans="1:6" x14ac:dyDescent="0.3">
      <c r="A169" s="113" t="s">
        <v>1644</v>
      </c>
      <c r="B169" s="114"/>
      <c r="C169" s="116" t="s">
        <v>1647</v>
      </c>
      <c r="D169" s="116" t="s">
        <v>1648</v>
      </c>
      <c r="E169" s="117"/>
      <c r="F169" s="68"/>
    </row>
    <row r="170" spans="1:6" x14ac:dyDescent="0.3">
      <c r="A170" s="113" t="s">
        <v>1649</v>
      </c>
      <c r="B170" s="114"/>
      <c r="C170" s="115"/>
      <c r="D170" s="116" t="s">
        <v>1650</v>
      </c>
      <c r="E170" s="116" t="s">
        <v>1651</v>
      </c>
      <c r="F170" s="68"/>
    </row>
    <row r="171" spans="1:6" x14ac:dyDescent="0.3">
      <c r="A171" s="113" t="s">
        <v>1652</v>
      </c>
      <c r="B171" s="114"/>
      <c r="C171" s="115"/>
      <c r="D171" s="116" t="s">
        <v>1653</v>
      </c>
      <c r="E171" s="116" t="s">
        <v>1654</v>
      </c>
      <c r="F171" s="68"/>
    </row>
    <row r="172" spans="1:6" x14ac:dyDescent="0.3">
      <c r="A172" s="113" t="s">
        <v>1655</v>
      </c>
      <c r="B172" s="114"/>
      <c r="C172" s="115"/>
      <c r="D172" s="116" t="s">
        <v>1656</v>
      </c>
      <c r="E172" s="116" t="s">
        <v>1657</v>
      </c>
      <c r="F172" s="68"/>
    </row>
    <row r="173" spans="1:6" x14ac:dyDescent="0.3">
      <c r="A173" s="113" t="s">
        <v>1658</v>
      </c>
      <c r="B173" s="114"/>
      <c r="C173" s="115"/>
      <c r="D173" s="116" t="s">
        <v>1659</v>
      </c>
      <c r="E173" s="116">
        <v>19</v>
      </c>
      <c r="F173" s="68"/>
    </row>
    <row r="174" spans="1:6" x14ac:dyDescent="0.3">
      <c r="A174" s="113" t="s">
        <v>1660</v>
      </c>
      <c r="B174" s="114"/>
      <c r="C174" s="115"/>
      <c r="D174" s="116" t="s">
        <v>1661</v>
      </c>
      <c r="E174" s="116" t="s">
        <v>1662</v>
      </c>
      <c r="F174" s="68"/>
    </row>
    <row r="175" spans="1:6" x14ac:dyDescent="0.3">
      <c r="A175" s="113" t="s">
        <v>1663</v>
      </c>
      <c r="B175" s="114"/>
      <c r="C175" s="115"/>
      <c r="D175" s="116" t="s">
        <v>1664</v>
      </c>
      <c r="E175" s="116" t="s">
        <v>1665</v>
      </c>
      <c r="F175" s="68"/>
    </row>
    <row r="176" spans="1:6" x14ac:dyDescent="0.3">
      <c r="A176" s="113" t="s">
        <v>1666</v>
      </c>
      <c r="B176" s="114"/>
      <c r="C176" s="115"/>
      <c r="D176" s="116" t="s">
        <v>1667</v>
      </c>
      <c r="E176" s="116" t="s">
        <v>1668</v>
      </c>
      <c r="F176" s="68"/>
    </row>
    <row r="177" spans="1:6" x14ac:dyDescent="0.3">
      <c r="A177" s="113" t="s">
        <v>1669</v>
      </c>
      <c r="B177" s="114"/>
      <c r="C177" s="115"/>
      <c r="D177" s="116" t="s">
        <v>1670</v>
      </c>
      <c r="E177" s="116" t="s">
        <v>1671</v>
      </c>
      <c r="F177" s="68"/>
    </row>
    <row r="178" spans="1:6" x14ac:dyDescent="0.3">
      <c r="A178" s="113" t="s">
        <v>1672</v>
      </c>
      <c r="B178" s="114"/>
      <c r="C178" s="116" t="s">
        <v>1673</v>
      </c>
      <c r="D178" s="116" t="s">
        <v>1674</v>
      </c>
      <c r="E178" s="116"/>
      <c r="F178" s="68"/>
    </row>
    <row r="179" spans="1:6" x14ac:dyDescent="0.3">
      <c r="A179" s="113" t="s">
        <v>1675</v>
      </c>
      <c r="B179" s="114"/>
      <c r="C179" s="115"/>
      <c r="D179" s="116" t="s">
        <v>1676</v>
      </c>
      <c r="E179" s="116" t="s">
        <v>1677</v>
      </c>
      <c r="F179" s="68"/>
    </row>
    <row r="180" spans="1:6" x14ac:dyDescent="0.3">
      <c r="A180" s="113" t="s">
        <v>1678</v>
      </c>
      <c r="B180" s="114"/>
      <c r="C180" s="115"/>
      <c r="D180" s="116" t="s">
        <v>1679</v>
      </c>
      <c r="E180" s="116" t="s">
        <v>1680</v>
      </c>
      <c r="F180" s="68"/>
    </row>
    <row r="181" spans="1:6" x14ac:dyDescent="0.3">
      <c r="A181" s="113" t="s">
        <v>1681</v>
      </c>
      <c r="B181" s="114"/>
      <c r="C181" s="115"/>
      <c r="D181" s="116" t="s">
        <v>1682</v>
      </c>
      <c r="E181" s="116" t="s">
        <v>1683</v>
      </c>
      <c r="F181" s="68"/>
    </row>
    <row r="182" spans="1:6" x14ac:dyDescent="0.3">
      <c r="A182" s="113" t="s">
        <v>1684</v>
      </c>
      <c r="B182" s="114"/>
      <c r="C182" s="115"/>
      <c r="D182" s="116" t="s">
        <v>1685</v>
      </c>
      <c r="E182" s="116" t="s">
        <v>1686</v>
      </c>
      <c r="F182" s="68"/>
    </row>
    <row r="183" spans="1:6" x14ac:dyDescent="0.3">
      <c r="A183" s="113" t="s">
        <v>1687</v>
      </c>
      <c r="B183" s="114"/>
      <c r="C183" s="115"/>
      <c r="D183" s="116" t="s">
        <v>1688</v>
      </c>
      <c r="E183" s="116" t="s">
        <v>1689</v>
      </c>
      <c r="F183" s="68"/>
    </row>
    <row r="184" spans="1:6" x14ac:dyDescent="0.3">
      <c r="A184" s="113" t="s">
        <v>1690</v>
      </c>
      <c r="B184" s="114"/>
      <c r="C184" s="115"/>
      <c r="D184" s="116" t="s">
        <v>1691</v>
      </c>
      <c r="E184" s="116" t="s">
        <v>1689</v>
      </c>
      <c r="F184" s="68"/>
    </row>
    <row r="185" spans="1:6" x14ac:dyDescent="0.3">
      <c r="A185" s="113" t="s">
        <v>1692</v>
      </c>
      <c r="B185" s="114"/>
      <c r="C185" s="115"/>
      <c r="D185" s="116" t="s">
        <v>1693</v>
      </c>
      <c r="E185" s="116" t="s">
        <v>1694</v>
      </c>
      <c r="F185" s="68"/>
    </row>
    <row r="186" spans="1:6" x14ac:dyDescent="0.3">
      <c r="A186" s="113" t="s">
        <v>1692</v>
      </c>
      <c r="B186" s="114"/>
      <c r="C186" s="115"/>
      <c r="D186" s="116" t="s">
        <v>1693</v>
      </c>
      <c r="E186" s="116" t="s">
        <v>1694</v>
      </c>
      <c r="F186" s="68"/>
    </row>
    <row r="187" spans="1:6" x14ac:dyDescent="0.3">
      <c r="A187" s="113" t="s">
        <v>1695</v>
      </c>
      <c r="B187" s="114"/>
      <c r="C187" s="115"/>
      <c r="D187" s="116" t="s">
        <v>1696</v>
      </c>
      <c r="E187" s="116" t="s">
        <v>1697</v>
      </c>
      <c r="F187" s="68"/>
    </row>
    <row r="188" spans="1:6" x14ac:dyDescent="0.3">
      <c r="A188" s="113" t="s">
        <v>1698</v>
      </c>
      <c r="B188" s="114"/>
      <c r="C188" s="115"/>
      <c r="D188" s="116" t="s">
        <v>1699</v>
      </c>
      <c r="E188" s="116" t="s">
        <v>1700</v>
      </c>
      <c r="F188" s="68"/>
    </row>
    <row r="189" spans="1:6" x14ac:dyDescent="0.3">
      <c r="A189" s="113" t="s">
        <v>1701</v>
      </c>
      <c r="B189" s="114"/>
      <c r="C189" s="116" t="s">
        <v>1702</v>
      </c>
      <c r="D189" s="116" t="s">
        <v>1703</v>
      </c>
      <c r="E189" s="117"/>
      <c r="F189" s="68"/>
    </row>
    <row r="190" spans="1:6" x14ac:dyDescent="0.3">
      <c r="A190" s="113" t="s">
        <v>1704</v>
      </c>
      <c r="B190" s="114"/>
      <c r="C190" s="115"/>
      <c r="D190" s="116" t="s">
        <v>1705</v>
      </c>
      <c r="E190" s="116" t="s">
        <v>1706</v>
      </c>
      <c r="F190" s="68"/>
    </row>
    <row r="191" spans="1:6" x14ac:dyDescent="0.3">
      <c r="A191" s="113" t="s">
        <v>1707</v>
      </c>
      <c r="B191" s="114"/>
      <c r="C191" s="115"/>
      <c r="D191" s="116"/>
      <c r="E191" s="116" t="s">
        <v>1708</v>
      </c>
      <c r="F191" s="68"/>
    </row>
    <row r="192" spans="1:6" x14ac:dyDescent="0.3">
      <c r="A192" s="113" t="s">
        <v>1709</v>
      </c>
      <c r="B192" s="114"/>
      <c r="C192" s="115"/>
      <c r="D192" s="116" t="s">
        <v>1710</v>
      </c>
      <c r="E192" s="116" t="s">
        <v>1711</v>
      </c>
      <c r="F192" s="68"/>
    </row>
    <row r="193" spans="1:6" x14ac:dyDescent="0.3">
      <c r="A193" s="113" t="s">
        <v>1712</v>
      </c>
      <c r="B193" s="114"/>
      <c r="C193" s="115"/>
      <c r="D193" s="116" t="s">
        <v>1713</v>
      </c>
      <c r="E193" s="116" t="s">
        <v>1714</v>
      </c>
      <c r="F193" s="68"/>
    </row>
    <row r="194" spans="1:6" x14ac:dyDescent="0.3">
      <c r="A194" s="113" t="s">
        <v>1715</v>
      </c>
      <c r="B194" s="114"/>
      <c r="C194" s="115"/>
      <c r="D194" s="116" t="s">
        <v>1716</v>
      </c>
      <c r="E194" s="116" t="s">
        <v>1717</v>
      </c>
      <c r="F194" s="68"/>
    </row>
    <row r="195" spans="1:6" x14ac:dyDescent="0.3">
      <c r="A195" s="113" t="s">
        <v>1718</v>
      </c>
      <c r="B195" s="114"/>
      <c r="C195" s="115"/>
      <c r="D195" s="116" t="s">
        <v>1719</v>
      </c>
      <c r="E195" s="116" t="s">
        <v>1720</v>
      </c>
      <c r="F195" s="68"/>
    </row>
    <row r="196" spans="1:6" x14ac:dyDescent="0.3">
      <c r="A196" s="113" t="s">
        <v>1721</v>
      </c>
      <c r="B196" s="114"/>
      <c r="C196" s="115"/>
      <c r="D196" s="116" t="s">
        <v>1722</v>
      </c>
      <c r="E196" s="116" t="s">
        <v>1723</v>
      </c>
      <c r="F196" s="68"/>
    </row>
    <row r="197" spans="1:6" x14ac:dyDescent="0.3">
      <c r="A197" s="113" t="s">
        <v>1724</v>
      </c>
      <c r="B197" s="114"/>
      <c r="C197" s="115"/>
      <c r="D197" s="116" t="s">
        <v>1725</v>
      </c>
      <c r="E197" s="116" t="s">
        <v>1725</v>
      </c>
      <c r="F197" s="68"/>
    </row>
    <row r="198" spans="1:6" x14ac:dyDescent="0.3">
      <c r="A198" s="113" t="s">
        <v>1726</v>
      </c>
      <c r="B198" s="114"/>
      <c r="C198" s="116" t="s">
        <v>1727</v>
      </c>
      <c r="D198" s="116" t="s">
        <v>1728</v>
      </c>
      <c r="E198" s="117"/>
      <c r="F198" s="68"/>
    </row>
    <row r="199" spans="1:6" x14ac:dyDescent="0.3">
      <c r="A199" s="113" t="s">
        <v>1726</v>
      </c>
      <c r="B199" s="114"/>
      <c r="C199" s="116" t="s">
        <v>1729</v>
      </c>
      <c r="D199" s="116" t="s">
        <v>1730</v>
      </c>
      <c r="E199" s="117"/>
      <c r="F199" s="68"/>
    </row>
    <row r="200" spans="1:6" x14ac:dyDescent="0.3">
      <c r="A200" s="113" t="s">
        <v>1731</v>
      </c>
      <c r="B200" s="114"/>
      <c r="C200" s="116" t="s">
        <v>1732</v>
      </c>
      <c r="D200" s="116" t="s">
        <v>1733</v>
      </c>
      <c r="E200" s="117"/>
      <c r="F200" s="68"/>
    </row>
    <row r="201" spans="1:6" x14ac:dyDescent="0.3">
      <c r="A201" s="113" t="s">
        <v>1731</v>
      </c>
      <c r="B201" s="114"/>
      <c r="C201" s="116" t="s">
        <v>1734</v>
      </c>
      <c r="D201" s="116" t="s">
        <v>1735</v>
      </c>
      <c r="E201" s="117"/>
      <c r="F201" s="68"/>
    </row>
    <row r="202" spans="1:6" x14ac:dyDescent="0.3">
      <c r="A202" s="113" t="s">
        <v>1736</v>
      </c>
      <c r="B202" s="114"/>
      <c r="C202" s="115"/>
      <c r="D202" s="116" t="s">
        <v>1737</v>
      </c>
      <c r="E202" s="116" t="s">
        <v>1738</v>
      </c>
      <c r="F202" s="68"/>
    </row>
    <row r="203" spans="1:6" x14ac:dyDescent="0.3">
      <c r="A203" s="113" t="s">
        <v>1739</v>
      </c>
      <c r="B203" s="114"/>
      <c r="C203" s="115"/>
      <c r="D203" s="116" t="s">
        <v>1740</v>
      </c>
      <c r="E203" s="116" t="s">
        <v>1741</v>
      </c>
      <c r="F203" s="68"/>
    </row>
    <row r="204" spans="1:6" x14ac:dyDescent="0.3">
      <c r="A204" s="113" t="s">
        <v>1742</v>
      </c>
      <c r="B204" s="114"/>
      <c r="C204" s="115"/>
      <c r="D204" s="116" t="s">
        <v>1743</v>
      </c>
      <c r="E204" s="116" t="s">
        <v>1744</v>
      </c>
      <c r="F204" s="68"/>
    </row>
    <row r="205" spans="1:6" x14ac:dyDescent="0.3">
      <c r="A205" s="113" t="s">
        <v>1742</v>
      </c>
      <c r="B205" s="114"/>
      <c r="C205" s="115"/>
      <c r="D205" s="116" t="s">
        <v>1745</v>
      </c>
      <c r="E205" s="116" t="s">
        <v>1746</v>
      </c>
      <c r="F205" s="68"/>
    </row>
    <row r="206" spans="1:6" x14ac:dyDescent="0.3">
      <c r="A206" s="113" t="s">
        <v>1747</v>
      </c>
      <c r="B206" s="114"/>
      <c r="C206" s="115"/>
      <c r="D206" s="116" t="s">
        <v>1748</v>
      </c>
      <c r="E206" s="116" t="s">
        <v>1749</v>
      </c>
      <c r="F206" s="68"/>
    </row>
    <row r="207" spans="1:6" x14ac:dyDescent="0.3">
      <c r="A207" s="113" t="s">
        <v>1750</v>
      </c>
      <c r="B207" s="114"/>
      <c r="C207" s="116" t="s">
        <v>1751</v>
      </c>
      <c r="D207" s="116" t="s">
        <v>1752</v>
      </c>
      <c r="E207" s="117"/>
      <c r="F207" s="68"/>
    </row>
    <row r="208" spans="1:6" x14ac:dyDescent="0.3">
      <c r="A208" s="113" t="s">
        <v>1753</v>
      </c>
      <c r="B208" s="114"/>
      <c r="C208" s="115"/>
      <c r="D208" s="116" t="s">
        <v>1754</v>
      </c>
      <c r="E208" s="116" t="s">
        <v>1755</v>
      </c>
      <c r="F208" s="68"/>
    </row>
    <row r="209" spans="1:6" x14ac:dyDescent="0.3">
      <c r="A209" s="113" t="s">
        <v>1756</v>
      </c>
      <c r="B209" s="114"/>
      <c r="C209" s="115"/>
      <c r="D209" s="116"/>
      <c r="E209" s="116" t="s">
        <v>1757</v>
      </c>
      <c r="F209" s="68"/>
    </row>
    <row r="210" spans="1:6" x14ac:dyDescent="0.3">
      <c r="A210" s="113" t="s">
        <v>1758</v>
      </c>
      <c r="B210" s="114"/>
      <c r="C210" s="115"/>
      <c r="D210" s="116" t="s">
        <v>1759</v>
      </c>
      <c r="E210" s="116" t="s">
        <v>1760</v>
      </c>
      <c r="F210" s="68"/>
    </row>
    <row r="211" spans="1:6" x14ac:dyDescent="0.3">
      <c r="A211" s="113" t="s">
        <v>1761</v>
      </c>
      <c r="B211" s="114"/>
      <c r="C211" s="115"/>
      <c r="D211" s="116" t="s">
        <v>1762</v>
      </c>
      <c r="E211" s="116" t="s">
        <v>1763</v>
      </c>
      <c r="F211" s="68"/>
    </row>
    <row r="212" spans="1:6" x14ac:dyDescent="0.3">
      <c r="A212" s="113" t="s">
        <v>1764</v>
      </c>
      <c r="B212" s="114"/>
      <c r="C212" s="115"/>
      <c r="D212" s="116" t="s">
        <v>403</v>
      </c>
      <c r="E212" s="116" t="s">
        <v>404</v>
      </c>
      <c r="F212" s="68"/>
    </row>
    <row r="213" spans="1:6" x14ac:dyDescent="0.3">
      <c r="A213" s="113" t="s">
        <v>1765</v>
      </c>
      <c r="B213" s="114"/>
      <c r="C213" s="115"/>
      <c r="D213" s="116" t="s">
        <v>1766</v>
      </c>
      <c r="E213" s="116" t="s">
        <v>1767</v>
      </c>
      <c r="F213" s="68"/>
    </row>
    <row r="214" spans="1:6" x14ac:dyDescent="0.3">
      <c r="A214" s="113" t="s">
        <v>1768</v>
      </c>
      <c r="B214" s="114"/>
      <c r="C214" s="115"/>
      <c r="D214" s="116" t="s">
        <v>1769</v>
      </c>
      <c r="E214" s="116" t="s">
        <v>1770</v>
      </c>
      <c r="F214" s="68"/>
    </row>
    <row r="215" spans="1:6" x14ac:dyDescent="0.3">
      <c r="A215" s="113" t="s">
        <v>1771</v>
      </c>
      <c r="B215" s="114"/>
      <c r="C215" s="115"/>
      <c r="D215" s="116" t="s">
        <v>1772</v>
      </c>
      <c r="E215" s="116" t="s">
        <v>1773</v>
      </c>
      <c r="F215" s="68"/>
    </row>
    <row r="216" spans="1:6" x14ac:dyDescent="0.3">
      <c r="A216" s="113" t="s">
        <v>1774</v>
      </c>
      <c r="B216" s="114"/>
      <c r="C216" s="115"/>
      <c r="D216" s="116" t="s">
        <v>1775</v>
      </c>
      <c r="E216" s="116" t="s">
        <v>1776</v>
      </c>
      <c r="F216" s="68"/>
    </row>
    <row r="217" spans="1:6" x14ac:dyDescent="0.3">
      <c r="A217" s="113" t="s">
        <v>1777</v>
      </c>
      <c r="B217" s="114"/>
      <c r="C217" s="115"/>
      <c r="D217" s="116" t="s">
        <v>1778</v>
      </c>
      <c r="E217" s="116" t="s">
        <v>1779</v>
      </c>
      <c r="F217" s="68"/>
    </row>
    <row r="218" spans="1:6" x14ac:dyDescent="0.3">
      <c r="A218" s="113" t="s">
        <v>1780</v>
      </c>
      <c r="B218" s="114"/>
      <c r="C218" s="115"/>
      <c r="D218" s="116" t="s">
        <v>1781</v>
      </c>
      <c r="E218" s="116" t="s">
        <v>1782</v>
      </c>
      <c r="F218" s="68"/>
    </row>
    <row r="219" spans="1:6" x14ac:dyDescent="0.3">
      <c r="A219" s="113" t="s">
        <v>1783</v>
      </c>
      <c r="B219" s="114"/>
      <c r="C219" s="115"/>
      <c r="D219" s="116" t="s">
        <v>1784</v>
      </c>
      <c r="E219" s="116" t="s">
        <v>1785</v>
      </c>
      <c r="F219" s="68"/>
    </row>
    <row r="220" spans="1:6" x14ac:dyDescent="0.3">
      <c r="A220" s="113" t="s">
        <v>1786</v>
      </c>
      <c r="B220" s="114"/>
      <c r="C220" s="115"/>
      <c r="D220" s="116" t="s">
        <v>1787</v>
      </c>
      <c r="E220" s="116" t="s">
        <v>1788</v>
      </c>
      <c r="F220" s="68"/>
    </row>
    <row r="221" spans="1:6" x14ac:dyDescent="0.3">
      <c r="A221" s="113" t="s">
        <v>1789</v>
      </c>
      <c r="B221" s="114"/>
      <c r="C221" s="115"/>
      <c r="D221" s="116" t="s">
        <v>1790</v>
      </c>
      <c r="E221" s="116" t="s">
        <v>1791</v>
      </c>
      <c r="F221" s="68"/>
    </row>
    <row r="222" spans="1:6" x14ac:dyDescent="0.3">
      <c r="A222" s="113" t="s">
        <v>1792</v>
      </c>
      <c r="B222" s="114"/>
      <c r="C222" s="115"/>
      <c r="D222" s="116" t="s">
        <v>1793</v>
      </c>
      <c r="E222" s="116" t="s">
        <v>1794</v>
      </c>
      <c r="F222" s="68"/>
    </row>
    <row r="223" spans="1:6" x14ac:dyDescent="0.3">
      <c r="A223" s="113" t="s">
        <v>1795</v>
      </c>
      <c r="B223" s="114"/>
      <c r="C223" s="115"/>
      <c r="D223" s="116" t="s">
        <v>1796</v>
      </c>
      <c r="E223" s="116" t="s">
        <v>1797</v>
      </c>
      <c r="F223" s="68"/>
    </row>
    <row r="224" spans="1:6" x14ac:dyDescent="0.3">
      <c r="A224" s="113" t="s">
        <v>1795</v>
      </c>
      <c r="B224" s="114"/>
      <c r="C224" s="115"/>
      <c r="D224" s="116" t="s">
        <v>1796</v>
      </c>
      <c r="E224" s="116" t="s">
        <v>1797</v>
      </c>
      <c r="F224" s="68"/>
    </row>
    <row r="225" spans="1:6" x14ac:dyDescent="0.3">
      <c r="A225" s="113" t="s">
        <v>1798</v>
      </c>
      <c r="B225" s="114"/>
      <c r="C225" s="115"/>
      <c r="D225" s="116" t="s">
        <v>1799</v>
      </c>
      <c r="E225" s="116" t="s">
        <v>1800</v>
      </c>
      <c r="F225" s="68"/>
    </row>
    <row r="226" spans="1:6" x14ac:dyDescent="0.3">
      <c r="A226" s="113" t="s">
        <v>1801</v>
      </c>
      <c r="B226" s="114"/>
      <c r="C226" s="115"/>
      <c r="D226" s="116" t="s">
        <v>1802</v>
      </c>
      <c r="E226" s="116" t="s">
        <v>1803</v>
      </c>
      <c r="F226" s="68"/>
    </row>
    <row r="227" spans="1:6" x14ac:dyDescent="0.3">
      <c r="A227" s="113" t="s">
        <v>1804</v>
      </c>
      <c r="B227" s="114"/>
      <c r="C227" s="115"/>
      <c r="D227" s="116" t="s">
        <v>1805</v>
      </c>
      <c r="E227" s="116" t="s">
        <v>1806</v>
      </c>
      <c r="F227" s="68"/>
    </row>
    <row r="228" spans="1:6" x14ac:dyDescent="0.3">
      <c r="A228" s="113" t="s">
        <v>1807</v>
      </c>
      <c r="B228" s="114"/>
      <c r="C228" s="115"/>
      <c r="D228" s="116" t="s">
        <v>1808</v>
      </c>
      <c r="E228" s="116" t="s">
        <v>1809</v>
      </c>
      <c r="F228" s="68"/>
    </row>
    <row r="229" spans="1:6" x14ac:dyDescent="0.3">
      <c r="A229" s="113" t="s">
        <v>1810</v>
      </c>
      <c r="B229" s="114"/>
      <c r="C229" s="115"/>
      <c r="D229" s="116" t="s">
        <v>1811</v>
      </c>
      <c r="E229" s="116" t="s">
        <v>1812</v>
      </c>
      <c r="F229" s="68"/>
    </row>
    <row r="230" spans="1:6" x14ac:dyDescent="0.3">
      <c r="A230" s="113" t="s">
        <v>1813</v>
      </c>
      <c r="B230" s="114"/>
      <c r="C230" s="115"/>
      <c r="D230" s="116" t="s">
        <v>1814</v>
      </c>
      <c r="E230" s="116" t="s">
        <v>1815</v>
      </c>
      <c r="F230" s="68"/>
    </row>
    <row r="231" spans="1:6" x14ac:dyDescent="0.3">
      <c r="A231" s="113" t="s">
        <v>1816</v>
      </c>
      <c r="B231" s="114"/>
      <c r="C231" s="115"/>
      <c r="D231" s="116" t="s">
        <v>1817</v>
      </c>
      <c r="E231" s="116" t="s">
        <v>1818</v>
      </c>
      <c r="F231" s="68"/>
    </row>
    <row r="232" spans="1:6" x14ac:dyDescent="0.3">
      <c r="A232" s="113" t="s">
        <v>1819</v>
      </c>
      <c r="B232" s="114"/>
      <c r="C232" s="115"/>
      <c r="D232" s="116" t="s">
        <v>1820</v>
      </c>
      <c r="E232" s="116" t="s">
        <v>1821</v>
      </c>
      <c r="F232" s="68"/>
    </row>
    <row r="233" spans="1:6" x14ac:dyDescent="0.3">
      <c r="A233" s="113" t="s">
        <v>1822</v>
      </c>
      <c r="B233" s="114"/>
      <c r="C233" s="115"/>
      <c r="D233" s="116" t="s">
        <v>1823</v>
      </c>
      <c r="E233" s="116" t="s">
        <v>1824</v>
      </c>
      <c r="F233" s="68"/>
    </row>
    <row r="234" spans="1:6" x14ac:dyDescent="0.3">
      <c r="A234" s="113" t="s">
        <v>1825</v>
      </c>
      <c r="B234" s="114"/>
      <c r="C234" s="116" t="s">
        <v>1826</v>
      </c>
      <c r="D234" s="116" t="s">
        <v>1827</v>
      </c>
      <c r="E234" s="117"/>
      <c r="F234" s="68"/>
    </row>
    <row r="235" spans="1:6" x14ac:dyDescent="0.3">
      <c r="A235" s="113" t="s">
        <v>1828</v>
      </c>
      <c r="B235" s="114"/>
      <c r="C235" s="115"/>
      <c r="D235" s="116" t="s">
        <v>1829</v>
      </c>
      <c r="E235" s="116" t="s">
        <v>1830</v>
      </c>
      <c r="F235" s="68"/>
    </row>
    <row r="236" spans="1:6" x14ac:dyDescent="0.3">
      <c r="A236" s="113" t="s">
        <v>1831</v>
      </c>
      <c r="B236" s="114"/>
      <c r="C236" s="115"/>
      <c r="D236" s="116" t="s">
        <v>1829</v>
      </c>
      <c r="E236" s="116" t="s">
        <v>1830</v>
      </c>
      <c r="F236" s="68"/>
    </row>
    <row r="237" spans="1:6" x14ac:dyDescent="0.3">
      <c r="A237" s="113" t="s">
        <v>1832</v>
      </c>
      <c r="B237" s="114"/>
      <c r="C237" s="115"/>
      <c r="D237" s="116" t="s">
        <v>1833</v>
      </c>
      <c r="E237" s="116" t="s">
        <v>1834</v>
      </c>
      <c r="F237" s="68"/>
    </row>
    <row r="238" spans="1:6" x14ac:dyDescent="0.3">
      <c r="A238" s="113" t="s">
        <v>1835</v>
      </c>
      <c r="B238" s="114"/>
      <c r="C238" s="115"/>
      <c r="D238" s="116" t="s">
        <v>1836</v>
      </c>
      <c r="E238" s="116" t="s">
        <v>1837</v>
      </c>
      <c r="F238" s="68"/>
    </row>
    <row r="239" spans="1:6" x14ac:dyDescent="0.3">
      <c r="A239" s="113" t="s">
        <v>1838</v>
      </c>
      <c r="B239" s="114"/>
      <c r="C239" s="115"/>
      <c r="D239" s="116" t="s">
        <v>1839</v>
      </c>
      <c r="E239" s="116" t="s">
        <v>1840</v>
      </c>
      <c r="F239" s="68"/>
    </row>
    <row r="240" spans="1:6" x14ac:dyDescent="0.3">
      <c r="A240" s="113" t="s">
        <v>1841</v>
      </c>
      <c r="B240" s="114"/>
      <c r="C240" s="115"/>
      <c r="D240" s="116" t="s">
        <v>1842</v>
      </c>
      <c r="E240" s="116" t="s">
        <v>1843</v>
      </c>
      <c r="F240" s="68"/>
    </row>
    <row r="241" spans="1:6" x14ac:dyDescent="0.3">
      <c r="A241" s="113" t="s">
        <v>1844</v>
      </c>
      <c r="B241" s="114"/>
      <c r="C241" s="115"/>
      <c r="D241" s="116" t="s">
        <v>1845</v>
      </c>
      <c r="E241" s="116" t="s">
        <v>1846</v>
      </c>
      <c r="F241" s="68"/>
    </row>
    <row r="242" spans="1:6" x14ac:dyDescent="0.3">
      <c r="A242" s="113" t="s">
        <v>415</v>
      </c>
      <c r="B242" s="114"/>
      <c r="C242" s="115"/>
      <c r="D242" s="116" t="s">
        <v>416</v>
      </c>
      <c r="E242" s="116" t="s">
        <v>417</v>
      </c>
      <c r="F242" s="68"/>
    </row>
    <row r="243" spans="1:6" x14ac:dyDescent="0.3">
      <c r="A243" s="113" t="s">
        <v>418</v>
      </c>
      <c r="B243" s="114"/>
      <c r="C243" s="116" t="s">
        <v>419</v>
      </c>
      <c r="D243" s="116" t="s">
        <v>420</v>
      </c>
      <c r="E243" s="117"/>
      <c r="F243" s="68"/>
    </row>
    <row r="244" spans="1:6" x14ac:dyDescent="0.3">
      <c r="A244" s="113" t="s">
        <v>421</v>
      </c>
      <c r="B244" s="114"/>
      <c r="C244" s="116" t="s">
        <v>422</v>
      </c>
      <c r="D244" s="116" t="s">
        <v>423</v>
      </c>
      <c r="E244" s="117"/>
      <c r="F244" s="68"/>
    </row>
    <row r="245" spans="1:6" x14ac:dyDescent="0.3">
      <c r="A245" s="113" t="s">
        <v>424</v>
      </c>
      <c r="B245" s="114"/>
      <c r="C245" s="116" t="s">
        <v>425</v>
      </c>
      <c r="D245" s="116" t="s">
        <v>426</v>
      </c>
      <c r="E245" s="117"/>
      <c r="F245" s="68"/>
    </row>
    <row r="246" spans="1:6" x14ac:dyDescent="0.3">
      <c r="A246" s="113" t="s">
        <v>427</v>
      </c>
      <c r="B246" s="114"/>
      <c r="C246" s="116" t="s">
        <v>428</v>
      </c>
      <c r="D246" s="116" t="s">
        <v>429</v>
      </c>
      <c r="E246" s="117"/>
      <c r="F246" s="68"/>
    </row>
    <row r="247" spans="1:6" x14ac:dyDescent="0.3">
      <c r="A247" s="113" t="s">
        <v>430</v>
      </c>
      <c r="B247" s="114"/>
      <c r="C247" s="115"/>
      <c r="D247" s="116" t="s">
        <v>431</v>
      </c>
      <c r="E247" s="116" t="s">
        <v>432</v>
      </c>
      <c r="F247" s="68"/>
    </row>
    <row r="248" spans="1:6" x14ac:dyDescent="0.3">
      <c r="A248" s="113" t="s">
        <v>433</v>
      </c>
      <c r="B248" s="114"/>
      <c r="C248" s="115"/>
      <c r="D248" s="116" t="s">
        <v>434</v>
      </c>
      <c r="E248" s="116" t="s">
        <v>435</v>
      </c>
      <c r="F248" s="68"/>
    </row>
    <row r="249" spans="1:6" x14ac:dyDescent="0.3">
      <c r="A249" s="113" t="s">
        <v>436</v>
      </c>
      <c r="B249" s="114"/>
      <c r="C249" s="115"/>
      <c r="D249" s="116" t="s">
        <v>437</v>
      </c>
      <c r="E249" s="116" t="s">
        <v>438</v>
      </c>
      <c r="F249" s="68"/>
    </row>
    <row r="250" spans="1:6" x14ac:dyDescent="0.3">
      <c r="A250" s="113" t="s">
        <v>439</v>
      </c>
      <c r="B250" s="114"/>
      <c r="C250" s="115"/>
      <c r="D250" s="116" t="s">
        <v>440</v>
      </c>
      <c r="E250" s="116" t="s">
        <v>441</v>
      </c>
      <c r="F250" s="68"/>
    </row>
    <row r="251" spans="1:6" x14ac:dyDescent="0.3">
      <c r="A251" s="113" t="s">
        <v>442</v>
      </c>
      <c r="B251" s="114"/>
      <c r="C251" s="115"/>
      <c r="D251" s="116" t="s">
        <v>443</v>
      </c>
      <c r="E251" s="116" t="s">
        <v>444</v>
      </c>
      <c r="F251" s="68"/>
    </row>
    <row r="252" spans="1:6" x14ac:dyDescent="0.3">
      <c r="A252" s="113" t="s">
        <v>445</v>
      </c>
      <c r="B252" s="114"/>
      <c r="C252" s="115"/>
      <c r="D252" s="116"/>
      <c r="E252" s="118" t="s">
        <v>175</v>
      </c>
      <c r="F252" s="68"/>
    </row>
    <row r="253" spans="1:6" x14ac:dyDescent="0.3">
      <c r="A253" s="113" t="s">
        <v>445</v>
      </c>
      <c r="B253" s="114"/>
      <c r="C253" s="115"/>
      <c r="D253" s="116"/>
      <c r="E253" s="116" t="s">
        <v>177</v>
      </c>
      <c r="F253" s="68"/>
    </row>
    <row r="254" spans="1:6" x14ac:dyDescent="0.3">
      <c r="A254" s="113" t="s">
        <v>445</v>
      </c>
      <c r="B254" s="114"/>
      <c r="C254" s="115"/>
      <c r="D254" s="116"/>
      <c r="E254" s="116" t="s">
        <v>176</v>
      </c>
      <c r="F254" s="68"/>
    </row>
    <row r="255" spans="1:6" x14ac:dyDescent="0.3">
      <c r="A255" s="154" t="s">
        <v>1847</v>
      </c>
      <c r="B255" s="155"/>
      <c r="C255" s="156" t="s">
        <v>1848</v>
      </c>
      <c r="D255" s="116"/>
      <c r="E255" s="116"/>
      <c r="F255" s="68"/>
    </row>
    <row r="256" spans="1:6" x14ac:dyDescent="0.3">
      <c r="A256" s="113" t="s">
        <v>1849</v>
      </c>
      <c r="B256" s="114"/>
      <c r="C256" s="115"/>
      <c r="D256" s="116"/>
      <c r="E256" s="116">
        <v>522229492</v>
      </c>
      <c r="F256" s="68"/>
    </row>
    <row r="257" spans="1:6" x14ac:dyDescent="0.3">
      <c r="A257" s="113" t="s">
        <v>1850</v>
      </c>
      <c r="B257" s="114"/>
      <c r="C257" s="145">
        <v>33490840394</v>
      </c>
      <c r="D257" s="116"/>
      <c r="E257" s="116"/>
      <c r="F257" s="68"/>
    </row>
    <row r="258" spans="1:6" x14ac:dyDescent="0.3">
      <c r="A258" s="102"/>
      <c r="B258" s="105"/>
      <c r="C258" s="70"/>
      <c r="D258" s="62"/>
      <c r="E258" s="68"/>
      <c r="F258" s="68"/>
    </row>
    <row r="259" spans="1:6" x14ac:dyDescent="0.3">
      <c r="A259" s="102"/>
      <c r="B259" s="105"/>
      <c r="C259" s="70"/>
      <c r="D259" s="62"/>
      <c r="E259" s="68"/>
      <c r="F259" s="68"/>
    </row>
    <row r="260" spans="1:6" x14ac:dyDescent="0.3">
      <c r="A260" s="102"/>
      <c r="B260" s="105"/>
      <c r="C260" s="70"/>
      <c r="D260" s="62"/>
      <c r="E260" s="68"/>
      <c r="F260" s="68"/>
    </row>
    <row r="261" spans="1:6" x14ac:dyDescent="0.3">
      <c r="A261" s="102"/>
      <c r="B261" s="105"/>
      <c r="C261" s="70"/>
      <c r="D261" s="62"/>
      <c r="E261" s="68"/>
      <c r="F261" s="68"/>
    </row>
    <row r="262" spans="1:6" x14ac:dyDescent="0.3">
      <c r="A262" s="102"/>
      <c r="B262" s="105"/>
      <c r="C262" s="70"/>
      <c r="D262" s="62"/>
      <c r="E262" s="68"/>
      <c r="F262" s="68"/>
    </row>
    <row r="263" spans="1:6" x14ac:dyDescent="0.3">
      <c r="A263" s="102"/>
      <c r="B263" s="105"/>
      <c r="C263" s="70"/>
      <c r="D263" s="62"/>
      <c r="E263" s="68"/>
      <c r="F263" s="68"/>
    </row>
    <row r="264" spans="1:6" x14ac:dyDescent="0.3">
      <c r="A264" s="102"/>
      <c r="B264" s="105"/>
      <c r="C264" s="70"/>
      <c r="D264" s="62"/>
      <c r="E264" s="68"/>
      <c r="F264" s="68"/>
    </row>
    <row r="265" spans="1:6" x14ac:dyDescent="0.3">
      <c r="A265" s="102"/>
      <c r="B265" s="105"/>
      <c r="C265" s="70"/>
      <c r="D265" s="62"/>
      <c r="E265" s="68"/>
      <c r="F265" s="68"/>
    </row>
    <row r="266" spans="1:6" x14ac:dyDescent="0.3">
      <c r="A266" s="102"/>
      <c r="B266" s="105"/>
      <c r="C266" s="70"/>
      <c r="D266" s="62"/>
      <c r="E266" s="68"/>
      <c r="F266" s="68"/>
    </row>
    <row r="267" spans="1:6" x14ac:dyDescent="0.3">
      <c r="A267" s="102"/>
      <c r="B267" s="105"/>
      <c r="C267" s="70"/>
      <c r="D267" s="62"/>
      <c r="E267" s="68"/>
      <c r="F267" s="68"/>
    </row>
    <row r="268" spans="1:6" x14ac:dyDescent="0.3">
      <c r="A268" s="102"/>
      <c r="B268" s="105"/>
      <c r="C268" s="70"/>
      <c r="D268" s="62"/>
      <c r="E268" s="68"/>
      <c r="F268" s="68"/>
    </row>
    <row r="269" spans="1:6" x14ac:dyDescent="0.3">
      <c r="A269" s="102"/>
      <c r="B269" s="105"/>
      <c r="C269" s="70"/>
      <c r="D269" s="62"/>
      <c r="E269" s="68"/>
      <c r="F269" s="68"/>
    </row>
    <row r="270" spans="1:6" x14ac:dyDescent="0.3">
      <c r="A270" s="102"/>
      <c r="B270" s="105"/>
      <c r="C270" s="70"/>
      <c r="D270" s="62"/>
      <c r="E270" s="68"/>
      <c r="F270" s="68"/>
    </row>
    <row r="271" spans="1:6" x14ac:dyDescent="0.3">
      <c r="A271" s="102"/>
      <c r="B271" s="105"/>
      <c r="C271" s="70"/>
      <c r="D271" s="62"/>
      <c r="E271" s="68"/>
      <c r="F271" s="68"/>
    </row>
    <row r="272" spans="1:6" x14ac:dyDescent="0.3">
      <c r="A272" s="102"/>
      <c r="B272" s="105"/>
      <c r="C272" s="70"/>
      <c r="D272" s="62"/>
      <c r="E272" s="68"/>
      <c r="F272" s="68"/>
    </row>
    <row r="273" spans="1:6" x14ac:dyDescent="0.3">
      <c r="A273" s="102"/>
      <c r="B273" s="105"/>
      <c r="C273" s="70"/>
      <c r="D273" s="62"/>
      <c r="E273" s="68"/>
      <c r="F273" s="68"/>
    </row>
    <row r="274" spans="1:6" x14ac:dyDescent="0.3">
      <c r="A274" s="102"/>
      <c r="B274" s="105"/>
      <c r="C274" s="70"/>
      <c r="D274" s="62"/>
      <c r="E274" s="68"/>
      <c r="F274" s="68"/>
    </row>
    <row r="275" spans="1:6" x14ac:dyDescent="0.3">
      <c r="A275" s="102"/>
      <c r="B275" s="105"/>
      <c r="C275" s="70"/>
      <c r="D275" s="62"/>
      <c r="E275" s="68"/>
      <c r="F275" s="68"/>
    </row>
    <row r="276" spans="1:6" x14ac:dyDescent="0.3">
      <c r="A276" s="102"/>
      <c r="B276" s="105"/>
      <c r="C276" s="70"/>
      <c r="D276" s="62"/>
      <c r="E276" s="68"/>
      <c r="F276" s="68"/>
    </row>
    <row r="277" spans="1:6" x14ac:dyDescent="0.3">
      <c r="A277" s="102"/>
      <c r="B277" s="105"/>
      <c r="C277" s="70"/>
      <c r="D277" s="62"/>
      <c r="E277" s="68"/>
      <c r="F277" s="68"/>
    </row>
    <row r="278" spans="1:6" x14ac:dyDescent="0.3">
      <c r="A278" s="102"/>
      <c r="B278" s="105"/>
      <c r="C278" s="70"/>
      <c r="D278" s="62"/>
      <c r="E278" s="68"/>
      <c r="F278" s="68"/>
    </row>
    <row r="279" spans="1:6" x14ac:dyDescent="0.3">
      <c r="A279" s="102"/>
      <c r="B279" s="105"/>
      <c r="C279" s="70"/>
      <c r="D279" s="62"/>
      <c r="E279" s="68"/>
      <c r="F279" s="68"/>
    </row>
    <row r="280" spans="1:6" x14ac:dyDescent="0.3">
      <c r="A280" s="102"/>
      <c r="B280" s="105"/>
      <c r="C280" s="70"/>
      <c r="D280" s="62"/>
      <c r="E280" s="68"/>
      <c r="F280" s="68"/>
    </row>
    <row r="281" spans="1:6" x14ac:dyDescent="0.3">
      <c r="A281" s="102"/>
      <c r="B281" s="105"/>
      <c r="C281" s="70"/>
      <c r="D281" s="62"/>
      <c r="E281" s="68"/>
      <c r="F281" s="68"/>
    </row>
    <row r="282" spans="1:6" x14ac:dyDescent="0.3">
      <c r="A282" s="102"/>
      <c r="B282" s="105"/>
      <c r="C282" s="70"/>
      <c r="D282" s="62"/>
      <c r="E282" s="68"/>
      <c r="F282" s="68"/>
    </row>
    <row r="283" spans="1:6" x14ac:dyDescent="0.3">
      <c r="A283" s="102"/>
      <c r="B283" s="105"/>
      <c r="C283" s="70"/>
      <c r="D283" s="62"/>
      <c r="E283" s="68"/>
      <c r="F283" s="68"/>
    </row>
    <row r="284" spans="1:6" x14ac:dyDescent="0.3">
      <c r="A284" s="102"/>
      <c r="B284" s="105"/>
      <c r="C284" s="70"/>
      <c r="D284" s="62"/>
      <c r="E284" s="68"/>
      <c r="F284" s="68"/>
    </row>
    <row r="285" spans="1:6" x14ac:dyDescent="0.3">
      <c r="A285" s="102"/>
      <c r="B285" s="105"/>
      <c r="C285" s="70"/>
      <c r="D285" s="62"/>
      <c r="E285" s="68"/>
      <c r="F285" s="68"/>
    </row>
    <row r="286" spans="1:6" x14ac:dyDescent="0.3">
      <c r="A286" s="102"/>
      <c r="B286" s="105"/>
      <c r="C286" s="70"/>
      <c r="D286" s="62"/>
      <c r="E286" s="68"/>
      <c r="F286" s="68"/>
    </row>
    <row r="287" spans="1:6" x14ac:dyDescent="0.3">
      <c r="A287" s="102"/>
      <c r="B287" s="105"/>
      <c r="C287" s="70"/>
      <c r="D287" s="62"/>
      <c r="E287" s="68"/>
      <c r="F287" s="68"/>
    </row>
    <row r="288" spans="1:6" x14ac:dyDescent="0.3">
      <c r="A288" s="102"/>
      <c r="B288" s="105"/>
      <c r="C288" s="70"/>
      <c r="D288" s="62"/>
      <c r="E288" s="68"/>
      <c r="F288" s="68"/>
    </row>
    <row r="289" spans="1:6" x14ac:dyDescent="0.3">
      <c r="A289" s="102"/>
      <c r="B289" s="105"/>
      <c r="C289" s="70"/>
      <c r="D289" s="62"/>
      <c r="E289" s="68"/>
      <c r="F289" s="68"/>
    </row>
    <row r="290" spans="1:6" x14ac:dyDescent="0.3">
      <c r="A290" s="102"/>
      <c r="B290" s="105"/>
      <c r="C290" s="70"/>
      <c r="D290" s="62"/>
      <c r="E290" s="68"/>
      <c r="F290" s="68"/>
    </row>
    <row r="291" spans="1:6" x14ac:dyDescent="0.3">
      <c r="A291" s="102"/>
      <c r="B291" s="105"/>
      <c r="C291" s="70"/>
      <c r="D291" s="62"/>
      <c r="E291" s="68"/>
      <c r="F291" s="68"/>
    </row>
    <row r="292" spans="1:6" x14ac:dyDescent="0.3">
      <c r="A292" s="102"/>
      <c r="B292" s="105"/>
      <c r="C292" s="70"/>
      <c r="D292" s="62"/>
      <c r="E292" s="68"/>
      <c r="F292" s="68"/>
    </row>
    <row r="293" spans="1:6" x14ac:dyDescent="0.3">
      <c r="A293" s="102"/>
      <c r="B293" s="105"/>
      <c r="C293" s="70"/>
      <c r="D293" s="62"/>
      <c r="E293" s="68"/>
      <c r="F293" s="68"/>
    </row>
    <row r="294" spans="1:6" x14ac:dyDescent="0.3">
      <c r="A294" s="102"/>
      <c r="B294" s="105"/>
      <c r="C294" s="70"/>
      <c r="D294" s="62"/>
      <c r="E294" s="68"/>
      <c r="F294" s="68"/>
    </row>
    <row r="295" spans="1:6" x14ac:dyDescent="0.3">
      <c r="A295" s="102"/>
      <c r="B295" s="105"/>
      <c r="C295" s="70"/>
      <c r="D295" s="62"/>
      <c r="E295" s="68"/>
      <c r="F295" s="68"/>
    </row>
    <row r="296" spans="1:6" x14ac:dyDescent="0.3">
      <c r="A296" s="102"/>
      <c r="B296" s="105"/>
      <c r="C296" s="70"/>
      <c r="D296" s="62"/>
      <c r="E296" s="68"/>
      <c r="F296" s="68"/>
    </row>
    <row r="297" spans="1:6" x14ac:dyDescent="0.3">
      <c r="A297" s="102"/>
      <c r="B297" s="105"/>
      <c r="C297" s="70"/>
      <c r="D297" s="62"/>
      <c r="E297" s="68"/>
      <c r="F297" s="68"/>
    </row>
    <row r="298" spans="1:6" x14ac:dyDescent="0.3">
      <c r="A298" s="102"/>
      <c r="B298" s="105"/>
      <c r="C298" s="70"/>
      <c r="D298" s="62"/>
      <c r="E298" s="68"/>
      <c r="F298" s="68"/>
    </row>
    <row r="299" spans="1:6" x14ac:dyDescent="0.3">
      <c r="A299" s="102"/>
      <c r="B299" s="105"/>
      <c r="C299" s="70"/>
      <c r="D299" s="62"/>
      <c r="E299" s="68"/>
      <c r="F299" s="68"/>
    </row>
    <row r="300" spans="1:6" x14ac:dyDescent="0.3">
      <c r="A300" s="102"/>
      <c r="B300" s="105"/>
      <c r="C300" s="70"/>
      <c r="D300" s="62"/>
      <c r="E300" s="68"/>
      <c r="F300" s="68"/>
    </row>
    <row r="301" spans="1:6" x14ac:dyDescent="0.3">
      <c r="A301" s="102"/>
      <c r="B301" s="105"/>
      <c r="C301" s="70"/>
      <c r="D301" s="62"/>
      <c r="E301" s="68"/>
      <c r="F301" s="68"/>
    </row>
    <row r="302" spans="1:6" x14ac:dyDescent="0.3">
      <c r="A302" s="102"/>
      <c r="B302" s="105"/>
      <c r="C302" s="70"/>
      <c r="D302" s="62"/>
      <c r="E302" s="68"/>
      <c r="F302" s="68"/>
    </row>
    <row r="303" spans="1:6" x14ac:dyDescent="0.3">
      <c r="A303" s="102"/>
      <c r="B303" s="105"/>
      <c r="C303" s="70"/>
      <c r="D303" s="62"/>
      <c r="E303" s="68"/>
      <c r="F303" s="68"/>
    </row>
    <row r="304" spans="1:6" x14ac:dyDescent="0.3">
      <c r="A304" s="102"/>
      <c r="B304" s="105"/>
      <c r="C304" s="70"/>
      <c r="D304" s="62"/>
      <c r="E304" s="68"/>
      <c r="F304" s="68"/>
    </row>
    <row r="305" spans="1:6" x14ac:dyDescent="0.3">
      <c r="A305" s="102"/>
      <c r="B305" s="105"/>
      <c r="C305" s="70"/>
      <c r="D305" s="62"/>
      <c r="E305" s="68"/>
      <c r="F305" s="68"/>
    </row>
    <row r="306" spans="1:6" x14ac:dyDescent="0.3">
      <c r="A306" s="102"/>
      <c r="B306" s="105"/>
      <c r="C306" s="70"/>
      <c r="D306" s="62"/>
      <c r="E306" s="68"/>
      <c r="F306" s="68"/>
    </row>
    <row r="307" spans="1:6" x14ac:dyDescent="0.3">
      <c r="A307" s="102"/>
      <c r="B307" s="105"/>
      <c r="C307" s="70"/>
      <c r="D307" s="62"/>
      <c r="E307" s="68"/>
      <c r="F307" s="68"/>
    </row>
    <row r="308" spans="1:6" x14ac:dyDescent="0.3">
      <c r="A308" s="102"/>
      <c r="B308" s="105"/>
      <c r="C308" s="70"/>
      <c r="D308" s="62"/>
      <c r="E308" s="68"/>
      <c r="F308" s="68"/>
    </row>
    <row r="309" spans="1:6" x14ac:dyDescent="0.3">
      <c r="A309" s="102"/>
      <c r="B309" s="105"/>
      <c r="C309" s="70"/>
      <c r="D309" s="62"/>
      <c r="E309" s="68"/>
      <c r="F309" s="68"/>
    </row>
    <row r="310" spans="1:6" x14ac:dyDescent="0.3">
      <c r="A310" s="102"/>
      <c r="B310" s="105"/>
      <c r="C310" s="70"/>
      <c r="D310" s="62"/>
      <c r="E310" s="68"/>
      <c r="F310" s="68"/>
    </row>
    <row r="311" spans="1:6" x14ac:dyDescent="0.3">
      <c r="A311" s="102"/>
      <c r="B311" s="105"/>
      <c r="C311" s="70"/>
      <c r="D311" s="62"/>
      <c r="E311" s="68"/>
      <c r="F311" s="68"/>
    </row>
    <row r="312" spans="1:6" x14ac:dyDescent="0.3">
      <c r="A312" s="102"/>
      <c r="B312" s="105"/>
      <c r="C312" s="70"/>
      <c r="D312" s="62"/>
      <c r="E312" s="68"/>
      <c r="F312" s="68"/>
    </row>
    <row r="313" spans="1:6" x14ac:dyDescent="0.3">
      <c r="A313" s="102"/>
      <c r="B313" s="105"/>
      <c r="C313" s="70"/>
      <c r="D313" s="62"/>
      <c r="E313" s="68"/>
      <c r="F313" s="68"/>
    </row>
    <row r="314" spans="1:6" x14ac:dyDescent="0.3">
      <c r="A314" s="102"/>
      <c r="B314" s="105"/>
      <c r="C314" s="70"/>
      <c r="D314" s="62"/>
      <c r="E314" s="68"/>
      <c r="F314" s="68"/>
    </row>
    <row r="315" spans="1:6" x14ac:dyDescent="0.3">
      <c r="A315" s="102"/>
      <c r="B315" s="105"/>
      <c r="C315" s="70"/>
      <c r="D315" s="62"/>
      <c r="E315" s="68"/>
      <c r="F315" s="68"/>
    </row>
    <row r="316" spans="1:6" x14ac:dyDescent="0.3">
      <c r="A316" s="102"/>
      <c r="B316" s="105"/>
      <c r="C316" s="70"/>
      <c r="D316" s="62"/>
      <c r="E316" s="68"/>
      <c r="F316" s="68"/>
    </row>
    <row r="317" spans="1:6" x14ac:dyDescent="0.3">
      <c r="A317" s="102"/>
      <c r="B317" s="105"/>
      <c r="C317" s="70"/>
      <c r="D317" s="62"/>
      <c r="E317" s="68"/>
      <c r="F317" s="68"/>
    </row>
    <row r="318" spans="1:6" x14ac:dyDescent="0.3">
      <c r="A318" s="102"/>
      <c r="B318" s="105"/>
      <c r="C318" s="70"/>
      <c r="D318" s="62"/>
      <c r="E318" s="68"/>
      <c r="F318" s="68"/>
    </row>
    <row r="319" spans="1:6" x14ac:dyDescent="0.3">
      <c r="A319" s="102"/>
      <c r="B319" s="105"/>
      <c r="C319" s="70"/>
      <c r="D319" s="62"/>
      <c r="E319" s="68"/>
      <c r="F319" s="68"/>
    </row>
    <row r="320" spans="1:6" x14ac:dyDescent="0.3">
      <c r="A320" s="102"/>
      <c r="B320" s="105"/>
      <c r="C320" s="70"/>
      <c r="D320" s="62"/>
      <c r="E320" s="68"/>
      <c r="F320" s="68"/>
    </row>
    <row r="321" spans="1:6" x14ac:dyDescent="0.3">
      <c r="A321" s="102"/>
      <c r="B321" s="105"/>
      <c r="C321" s="70"/>
      <c r="D321" s="62"/>
      <c r="E321" s="68"/>
      <c r="F321" s="68"/>
    </row>
    <row r="322" spans="1:6" x14ac:dyDescent="0.3">
      <c r="A322" s="102"/>
      <c r="B322" s="105"/>
      <c r="C322" s="70"/>
      <c r="D322" s="62"/>
      <c r="E322" s="68"/>
      <c r="F322" s="68"/>
    </row>
    <row r="323" spans="1:6" x14ac:dyDescent="0.3">
      <c r="A323" s="102"/>
      <c r="B323" s="105"/>
      <c r="C323" s="70"/>
      <c r="D323" s="62"/>
      <c r="E323" s="68"/>
      <c r="F323" s="68"/>
    </row>
    <row r="324" spans="1:6" x14ac:dyDescent="0.3">
      <c r="A324" s="102"/>
      <c r="B324" s="105"/>
      <c r="C324" s="70"/>
      <c r="D324" s="62"/>
      <c r="E324" s="68"/>
      <c r="F324" s="68"/>
    </row>
    <row r="325" spans="1:6" x14ac:dyDescent="0.3">
      <c r="A325" s="102"/>
      <c r="B325" s="105"/>
      <c r="C325" s="70"/>
      <c r="D325" s="62"/>
      <c r="E325" s="68"/>
      <c r="F325" s="68"/>
    </row>
    <row r="326" spans="1:6" x14ac:dyDescent="0.3">
      <c r="A326" s="102"/>
      <c r="B326" s="105"/>
      <c r="C326" s="70"/>
      <c r="D326" s="62"/>
      <c r="E326" s="68"/>
      <c r="F326" s="68"/>
    </row>
    <row r="327" spans="1:6" x14ac:dyDescent="0.3">
      <c r="A327" s="102"/>
      <c r="B327" s="105"/>
      <c r="C327" s="70"/>
      <c r="D327" s="62"/>
      <c r="E327" s="68"/>
      <c r="F327" s="68"/>
    </row>
    <row r="328" spans="1:6" x14ac:dyDescent="0.3">
      <c r="A328" s="102"/>
      <c r="B328" s="105"/>
      <c r="C328" s="70"/>
      <c r="D328" s="62"/>
      <c r="E328" s="68"/>
      <c r="F328" s="68"/>
    </row>
    <row r="329" spans="1:6" x14ac:dyDescent="0.3">
      <c r="A329" s="102"/>
      <c r="B329" s="105"/>
      <c r="C329" s="70"/>
      <c r="D329" s="62"/>
      <c r="E329" s="68"/>
      <c r="F329" s="68"/>
    </row>
    <row r="330" spans="1:6" x14ac:dyDescent="0.3">
      <c r="A330" s="102"/>
      <c r="B330" s="105"/>
      <c r="C330" s="70"/>
      <c r="D330" s="62"/>
      <c r="E330" s="68"/>
      <c r="F330" s="68"/>
    </row>
    <row r="331" spans="1:6" x14ac:dyDescent="0.3">
      <c r="A331" s="102"/>
      <c r="B331" s="105"/>
      <c r="C331" s="70"/>
      <c r="D331" s="62"/>
      <c r="E331" s="68"/>
      <c r="F331" s="68"/>
    </row>
    <row r="332" spans="1:6" x14ac:dyDescent="0.3">
      <c r="A332" s="102"/>
      <c r="B332" s="105"/>
      <c r="C332" s="70"/>
      <c r="D332" s="62"/>
      <c r="E332" s="68"/>
      <c r="F332" s="68"/>
    </row>
    <row r="333" spans="1:6" x14ac:dyDescent="0.3">
      <c r="A333" s="102"/>
      <c r="B333" s="105"/>
      <c r="C333" s="70"/>
      <c r="D333" s="62"/>
      <c r="E333" s="68"/>
      <c r="F333" s="68"/>
    </row>
    <row r="334" spans="1:6" x14ac:dyDescent="0.3">
      <c r="A334" s="102"/>
      <c r="B334" s="105"/>
      <c r="C334" s="70"/>
      <c r="D334" s="62"/>
      <c r="E334" s="68"/>
      <c r="F334" s="68"/>
    </row>
    <row r="335" spans="1:6" x14ac:dyDescent="0.3">
      <c r="A335" s="102"/>
      <c r="B335" s="105"/>
      <c r="C335" s="70"/>
      <c r="D335" s="62"/>
      <c r="E335" s="68"/>
      <c r="F335" s="68"/>
    </row>
    <row r="336" spans="1:6" x14ac:dyDescent="0.3">
      <c r="A336" s="102"/>
      <c r="B336" s="105"/>
      <c r="C336" s="70"/>
      <c r="D336" s="62"/>
      <c r="E336" s="68"/>
      <c r="F336" s="68"/>
    </row>
    <row r="337" spans="1:6" x14ac:dyDescent="0.3">
      <c r="A337" s="102"/>
      <c r="B337" s="105"/>
      <c r="C337" s="70"/>
      <c r="D337" s="62"/>
      <c r="E337" s="68"/>
      <c r="F337" s="68"/>
    </row>
    <row r="338" spans="1:6" x14ac:dyDescent="0.3">
      <c r="A338" s="102"/>
      <c r="B338" s="105"/>
      <c r="C338" s="70"/>
      <c r="D338" s="62"/>
      <c r="E338" s="68"/>
      <c r="F338" s="68"/>
    </row>
    <row r="339" spans="1:6" x14ac:dyDescent="0.3">
      <c r="A339" s="102"/>
      <c r="B339" s="105"/>
      <c r="C339" s="70"/>
      <c r="D339" s="62"/>
      <c r="E339" s="68"/>
      <c r="F339" s="68"/>
    </row>
    <row r="340" spans="1:6" x14ac:dyDescent="0.3">
      <c r="A340" s="102"/>
      <c r="B340" s="105"/>
      <c r="C340" s="70"/>
      <c r="D340" s="62"/>
      <c r="E340" s="68"/>
      <c r="F340" s="68"/>
    </row>
    <row r="341" spans="1:6" x14ac:dyDescent="0.3">
      <c r="A341" s="102"/>
      <c r="B341" s="105"/>
      <c r="C341" s="70"/>
      <c r="D341" s="62"/>
      <c r="E341" s="68"/>
      <c r="F341" s="68"/>
    </row>
    <row r="342" spans="1:6" x14ac:dyDescent="0.3">
      <c r="A342" s="102"/>
      <c r="B342" s="105"/>
      <c r="C342" s="70"/>
      <c r="D342" s="62"/>
      <c r="E342" s="68"/>
      <c r="F342" s="68"/>
    </row>
    <row r="343" spans="1:6" x14ac:dyDescent="0.3">
      <c r="A343" s="102"/>
      <c r="B343" s="105"/>
      <c r="C343" s="70"/>
      <c r="D343" s="62"/>
      <c r="E343" s="68"/>
      <c r="F343" s="68"/>
    </row>
    <row r="344" spans="1:6" x14ac:dyDescent="0.3">
      <c r="A344" s="102"/>
      <c r="B344" s="105"/>
      <c r="C344" s="70"/>
      <c r="D344" s="62"/>
      <c r="E344" s="68"/>
      <c r="F344" s="68"/>
    </row>
    <row r="345" spans="1:6" x14ac:dyDescent="0.3">
      <c r="A345" s="102"/>
      <c r="B345" s="105"/>
      <c r="C345" s="70"/>
      <c r="D345" s="62"/>
      <c r="E345" s="68"/>
      <c r="F345" s="68"/>
    </row>
    <row r="346" spans="1:6" x14ac:dyDescent="0.3">
      <c r="A346" s="102"/>
      <c r="B346" s="105"/>
      <c r="C346" s="70"/>
      <c r="D346" s="62"/>
      <c r="E346" s="68"/>
      <c r="F346" s="68"/>
    </row>
    <row r="347" spans="1:6" x14ac:dyDescent="0.3">
      <c r="A347" s="102"/>
      <c r="B347" s="105"/>
      <c r="C347" s="70"/>
      <c r="D347" s="62"/>
      <c r="E347" s="68"/>
      <c r="F347" s="68"/>
    </row>
    <row r="348" spans="1:6" x14ac:dyDescent="0.3">
      <c r="A348" s="102"/>
      <c r="B348" s="105"/>
      <c r="C348" s="70"/>
      <c r="D348" s="62"/>
      <c r="E348" s="68"/>
      <c r="F348" s="68"/>
    </row>
    <row r="349" spans="1:6" x14ac:dyDescent="0.3">
      <c r="A349" s="102"/>
      <c r="B349" s="105"/>
      <c r="C349" s="70"/>
      <c r="D349" s="62"/>
      <c r="E349" s="68"/>
      <c r="F349" s="68"/>
    </row>
    <row r="350" spans="1:6" x14ac:dyDescent="0.3">
      <c r="A350" s="102"/>
      <c r="B350" s="105"/>
      <c r="C350" s="70"/>
      <c r="D350" s="62"/>
      <c r="E350" s="68"/>
      <c r="F350" s="68"/>
    </row>
    <row r="351" spans="1:6" x14ac:dyDescent="0.3">
      <c r="A351" s="102"/>
      <c r="B351" s="105"/>
      <c r="C351" s="70"/>
      <c r="D351" s="62"/>
      <c r="E351" s="68"/>
      <c r="F351" s="68"/>
    </row>
    <row r="352" spans="1:6" x14ac:dyDescent="0.3">
      <c r="A352" s="102"/>
      <c r="B352" s="105"/>
      <c r="C352" s="70"/>
      <c r="D352" s="62"/>
      <c r="E352" s="68"/>
      <c r="F352" s="68"/>
    </row>
    <row r="353" spans="1:6" x14ac:dyDescent="0.3">
      <c r="A353" s="102"/>
      <c r="B353" s="105"/>
      <c r="C353" s="70"/>
      <c r="D353" s="62"/>
      <c r="E353" s="68"/>
      <c r="F353" s="68"/>
    </row>
    <row r="354" spans="1:6" x14ac:dyDescent="0.3">
      <c r="A354" s="102"/>
      <c r="B354" s="105"/>
      <c r="C354" s="70"/>
      <c r="D354" s="62"/>
      <c r="E354" s="68"/>
      <c r="F354" s="68"/>
    </row>
    <row r="355" spans="1:6" x14ac:dyDescent="0.3">
      <c r="A355" s="102"/>
      <c r="B355" s="105"/>
      <c r="C355" s="70"/>
      <c r="D355" s="62"/>
      <c r="E355" s="68"/>
      <c r="F355" s="68"/>
    </row>
    <row r="356" spans="1:6" x14ac:dyDescent="0.3">
      <c r="A356" s="102"/>
      <c r="B356" s="105"/>
      <c r="C356" s="70"/>
      <c r="D356" s="62"/>
      <c r="E356" s="68"/>
      <c r="F356" s="68"/>
    </row>
    <row r="357" spans="1:6" x14ac:dyDescent="0.3">
      <c r="A357" s="102"/>
      <c r="B357" s="105"/>
      <c r="C357" s="70"/>
      <c r="D357" s="62"/>
      <c r="E357" s="68"/>
      <c r="F357" s="68"/>
    </row>
    <row r="358" spans="1:6" x14ac:dyDescent="0.3">
      <c r="A358" s="102"/>
      <c r="B358" s="105"/>
      <c r="C358" s="70"/>
      <c r="D358" s="62"/>
      <c r="E358" s="68"/>
      <c r="F358" s="68"/>
    </row>
    <row r="359" spans="1:6" x14ac:dyDescent="0.3">
      <c r="A359" s="102"/>
      <c r="B359" s="105"/>
      <c r="C359" s="70"/>
      <c r="D359" s="62"/>
      <c r="E359" s="68"/>
      <c r="F359" s="68"/>
    </row>
    <row r="360" spans="1:6" x14ac:dyDescent="0.3">
      <c r="A360" s="102"/>
      <c r="B360" s="105"/>
      <c r="C360" s="70"/>
      <c r="D360" s="62"/>
      <c r="E360" s="68"/>
      <c r="F360" s="68"/>
    </row>
    <row r="361" spans="1:6" x14ac:dyDescent="0.3">
      <c r="A361" s="102"/>
      <c r="B361" s="105"/>
      <c r="C361" s="70"/>
      <c r="D361" s="62"/>
      <c r="E361" s="68"/>
      <c r="F361" s="68"/>
    </row>
    <row r="362" spans="1:6" x14ac:dyDescent="0.3">
      <c r="A362" s="102"/>
      <c r="B362" s="105"/>
      <c r="C362" s="70"/>
      <c r="D362" s="62"/>
      <c r="E362" s="68"/>
      <c r="F362" s="68"/>
    </row>
    <row r="363" spans="1:6" x14ac:dyDescent="0.3">
      <c r="A363" s="102"/>
      <c r="B363" s="105"/>
      <c r="C363" s="70"/>
      <c r="D363" s="62"/>
      <c r="E363" s="68"/>
      <c r="F363" s="68"/>
    </row>
    <row r="364" spans="1:6" x14ac:dyDescent="0.3">
      <c r="A364" s="102"/>
      <c r="B364" s="105"/>
      <c r="C364" s="70"/>
      <c r="D364" s="62"/>
      <c r="E364" s="68"/>
      <c r="F364" s="68"/>
    </row>
    <row r="365" spans="1:6" x14ac:dyDescent="0.3">
      <c r="A365" s="102"/>
      <c r="B365" s="105"/>
      <c r="C365" s="70"/>
      <c r="D365" s="62"/>
      <c r="E365" s="68"/>
      <c r="F365" s="68"/>
    </row>
    <row r="366" spans="1:6" x14ac:dyDescent="0.3">
      <c r="A366" s="102"/>
      <c r="B366" s="105"/>
      <c r="C366" s="70"/>
      <c r="D366" s="62"/>
      <c r="E366" s="68"/>
      <c r="F366" s="68"/>
    </row>
    <row r="367" spans="1:6" x14ac:dyDescent="0.3">
      <c r="A367" s="102"/>
      <c r="B367" s="105"/>
      <c r="C367" s="70"/>
      <c r="D367" s="62"/>
      <c r="E367" s="68"/>
      <c r="F367" s="68"/>
    </row>
    <row r="368" spans="1:6" x14ac:dyDescent="0.3">
      <c r="A368" s="102"/>
      <c r="B368" s="105"/>
      <c r="C368" s="70"/>
      <c r="D368" s="62"/>
      <c r="E368" s="68"/>
      <c r="F368" s="68"/>
    </row>
    <row r="369" spans="1:6" x14ac:dyDescent="0.3">
      <c r="A369" s="102"/>
      <c r="B369" s="105"/>
      <c r="C369" s="70"/>
      <c r="D369" s="62"/>
      <c r="E369" s="68"/>
      <c r="F369" s="68"/>
    </row>
    <row r="370" spans="1:6" x14ac:dyDescent="0.3">
      <c r="A370" s="102"/>
      <c r="B370" s="105"/>
      <c r="C370" s="70"/>
      <c r="D370" s="62"/>
      <c r="E370" s="68"/>
      <c r="F370" s="68"/>
    </row>
    <row r="371" spans="1:6" x14ac:dyDescent="0.3">
      <c r="A371" s="102"/>
      <c r="B371" s="105"/>
      <c r="C371" s="70"/>
      <c r="D371" s="62"/>
      <c r="E371" s="68"/>
      <c r="F371" s="68"/>
    </row>
    <row r="372" spans="1:6" x14ac:dyDescent="0.3">
      <c r="A372" s="102"/>
      <c r="B372" s="105"/>
      <c r="C372" s="70"/>
      <c r="D372" s="62"/>
      <c r="E372" s="68"/>
      <c r="F372" s="68"/>
    </row>
    <row r="373" spans="1:6" x14ac:dyDescent="0.3">
      <c r="A373" s="102"/>
      <c r="B373" s="105"/>
      <c r="C373" s="70"/>
      <c r="D373" s="62"/>
      <c r="E373" s="68"/>
      <c r="F373" s="68"/>
    </row>
    <row r="374" spans="1:6" x14ac:dyDescent="0.3">
      <c r="A374" s="102"/>
      <c r="B374" s="105"/>
      <c r="C374" s="70"/>
      <c r="D374" s="62"/>
      <c r="E374" s="68"/>
      <c r="F374" s="68"/>
    </row>
    <row r="375" spans="1:6" x14ac:dyDescent="0.3">
      <c r="A375" s="102"/>
      <c r="B375" s="105"/>
      <c r="C375" s="70"/>
      <c r="D375" s="62"/>
      <c r="E375" s="68"/>
      <c r="F375" s="68"/>
    </row>
    <row r="376" spans="1:6" x14ac:dyDescent="0.3">
      <c r="A376" s="102"/>
      <c r="B376" s="105"/>
      <c r="C376" s="70"/>
      <c r="D376" s="62"/>
      <c r="E376" s="68"/>
      <c r="F376" s="68"/>
    </row>
    <row r="377" spans="1:6" x14ac:dyDescent="0.3">
      <c r="A377" s="102"/>
      <c r="B377" s="105"/>
      <c r="C377" s="70"/>
      <c r="D377" s="62"/>
      <c r="E377" s="68"/>
      <c r="F377" s="68"/>
    </row>
    <row r="378" spans="1:6" x14ac:dyDescent="0.3">
      <c r="A378" s="102"/>
      <c r="B378" s="105"/>
      <c r="C378" s="70"/>
      <c r="D378" s="62"/>
      <c r="E378" s="68"/>
      <c r="F378" s="68"/>
    </row>
    <row r="379" spans="1:6" x14ac:dyDescent="0.3">
      <c r="A379" s="102"/>
      <c r="B379" s="105"/>
      <c r="C379" s="70"/>
      <c r="D379" s="62"/>
      <c r="E379" s="68"/>
      <c r="F379" s="68"/>
    </row>
    <row r="380" spans="1:6" x14ac:dyDescent="0.3">
      <c r="A380" s="102"/>
      <c r="B380" s="105"/>
      <c r="C380" s="70"/>
      <c r="D380" s="62"/>
      <c r="E380" s="68"/>
      <c r="F380" s="68"/>
    </row>
    <row r="381" spans="1:6" x14ac:dyDescent="0.3">
      <c r="A381" s="102"/>
      <c r="B381" s="105"/>
      <c r="C381" s="70"/>
      <c r="D381" s="62"/>
      <c r="E381" s="68"/>
      <c r="F381" s="68"/>
    </row>
    <row r="382" spans="1:6" x14ac:dyDescent="0.3">
      <c r="A382" s="102"/>
      <c r="B382" s="105"/>
      <c r="C382" s="70"/>
      <c r="D382" s="62"/>
      <c r="E382" s="68"/>
      <c r="F382" s="68"/>
    </row>
    <row r="383" spans="1:6" x14ac:dyDescent="0.3">
      <c r="A383" s="102"/>
      <c r="B383" s="105"/>
      <c r="C383" s="70"/>
      <c r="D383" s="62"/>
      <c r="E383" s="68"/>
      <c r="F383" s="68"/>
    </row>
    <row r="384" spans="1:6" x14ac:dyDescent="0.3">
      <c r="A384" s="102"/>
      <c r="B384" s="105"/>
      <c r="C384" s="70"/>
      <c r="D384" s="62"/>
      <c r="E384" s="68"/>
      <c r="F384" s="68"/>
    </row>
    <row r="385" spans="1:6" x14ac:dyDescent="0.3">
      <c r="A385" s="102"/>
      <c r="B385" s="105"/>
      <c r="C385" s="70"/>
      <c r="D385" s="62"/>
      <c r="E385" s="68"/>
      <c r="F385" s="68"/>
    </row>
    <row r="386" spans="1:6" x14ac:dyDescent="0.3">
      <c r="A386" s="102"/>
      <c r="B386" s="105"/>
      <c r="C386" s="70"/>
      <c r="D386" s="62"/>
      <c r="E386" s="68"/>
      <c r="F386" s="68"/>
    </row>
    <row r="387" spans="1:6" x14ac:dyDescent="0.3">
      <c r="A387" s="102"/>
      <c r="B387" s="105"/>
      <c r="C387" s="70"/>
      <c r="D387" s="62"/>
      <c r="E387" s="68"/>
      <c r="F387" s="68"/>
    </row>
    <row r="388" spans="1:6" x14ac:dyDescent="0.3">
      <c r="A388" s="102"/>
      <c r="B388" s="105"/>
      <c r="C388" s="70"/>
      <c r="D388" s="62"/>
      <c r="E388" s="68"/>
      <c r="F388" s="68"/>
    </row>
    <row r="389" spans="1:6" x14ac:dyDescent="0.3">
      <c r="A389" s="102"/>
      <c r="B389" s="105"/>
      <c r="C389" s="70"/>
      <c r="D389" s="62"/>
      <c r="E389" s="68"/>
      <c r="F389" s="68"/>
    </row>
    <row r="390" spans="1:6" x14ac:dyDescent="0.3">
      <c r="A390" s="102"/>
      <c r="B390" s="105"/>
      <c r="C390" s="70"/>
      <c r="D390" s="62"/>
      <c r="E390" s="68"/>
      <c r="F390" s="68"/>
    </row>
    <row r="391" spans="1:6" x14ac:dyDescent="0.3">
      <c r="A391" s="102"/>
      <c r="B391" s="105"/>
      <c r="C391" s="70"/>
      <c r="D391" s="62"/>
      <c r="E391" s="68"/>
      <c r="F391" s="68"/>
    </row>
    <row r="392" spans="1:6" x14ac:dyDescent="0.3">
      <c r="A392" s="102"/>
      <c r="B392" s="105"/>
      <c r="C392" s="70"/>
      <c r="D392" s="62"/>
      <c r="E392" s="68"/>
      <c r="F392" s="68"/>
    </row>
    <row r="393" spans="1:6" x14ac:dyDescent="0.3">
      <c r="A393" s="102"/>
      <c r="B393" s="105"/>
      <c r="C393" s="70"/>
      <c r="D393" s="62"/>
      <c r="E393" s="68"/>
      <c r="F393" s="68"/>
    </row>
    <row r="394" spans="1:6" x14ac:dyDescent="0.3">
      <c r="A394" s="102"/>
      <c r="B394" s="105"/>
      <c r="C394" s="70"/>
      <c r="D394" s="62"/>
      <c r="E394" s="68"/>
      <c r="F394" s="68"/>
    </row>
    <row r="395" spans="1:6" x14ac:dyDescent="0.3">
      <c r="A395" s="102"/>
      <c r="B395" s="105"/>
      <c r="C395" s="70"/>
      <c r="D395" s="62"/>
      <c r="E395" s="68"/>
      <c r="F395" s="68"/>
    </row>
    <row r="396" spans="1:6" x14ac:dyDescent="0.3">
      <c r="A396" s="102"/>
      <c r="B396" s="105"/>
      <c r="C396" s="70"/>
      <c r="D396" s="62"/>
      <c r="E396" s="68"/>
      <c r="F396" s="68"/>
    </row>
    <row r="397" spans="1:6" x14ac:dyDescent="0.3">
      <c r="A397" s="102"/>
      <c r="B397" s="105"/>
      <c r="C397" s="70"/>
      <c r="D397" s="62"/>
      <c r="E397" s="68"/>
      <c r="F397" s="68"/>
    </row>
    <row r="398" spans="1:6" x14ac:dyDescent="0.3">
      <c r="A398" s="102"/>
      <c r="B398" s="105"/>
      <c r="C398" s="70"/>
      <c r="D398" s="62"/>
      <c r="E398" s="68"/>
      <c r="F398" s="68"/>
    </row>
    <row r="399" spans="1:6" x14ac:dyDescent="0.3">
      <c r="A399" s="102"/>
      <c r="B399" s="105"/>
      <c r="C399" s="70"/>
      <c r="D399" s="62"/>
      <c r="E399" s="68"/>
      <c r="F399" s="68"/>
    </row>
    <row r="400" spans="1:6" x14ac:dyDescent="0.3">
      <c r="A400" s="102"/>
      <c r="B400" s="105"/>
      <c r="C400" s="70"/>
      <c r="D400" s="62"/>
      <c r="E400" s="68"/>
      <c r="F400" s="68"/>
    </row>
    <row r="401" spans="1:6" x14ac:dyDescent="0.3">
      <c r="A401" s="102"/>
      <c r="B401" s="105"/>
      <c r="C401" s="70"/>
      <c r="D401" s="62"/>
      <c r="E401" s="68"/>
      <c r="F401" s="68"/>
    </row>
    <row r="402" spans="1:6" x14ac:dyDescent="0.3">
      <c r="A402" s="102"/>
      <c r="B402" s="105"/>
      <c r="C402" s="70"/>
      <c r="D402" s="62"/>
      <c r="E402" s="68"/>
      <c r="F402" s="68"/>
    </row>
    <row r="403" spans="1:6" x14ac:dyDescent="0.3">
      <c r="A403" s="102"/>
      <c r="B403" s="105"/>
      <c r="C403" s="70"/>
      <c r="D403" s="62"/>
      <c r="E403" s="68"/>
      <c r="F403" s="68"/>
    </row>
    <row r="404" spans="1:6" x14ac:dyDescent="0.3">
      <c r="A404" s="102"/>
      <c r="B404" s="105"/>
      <c r="C404" s="70"/>
      <c r="D404" s="62"/>
      <c r="E404" s="68"/>
      <c r="F404" s="68"/>
    </row>
    <row r="405" spans="1:6" x14ac:dyDescent="0.3">
      <c r="A405" s="102"/>
      <c r="B405" s="105"/>
      <c r="C405" s="70"/>
      <c r="D405" s="62"/>
      <c r="E405" s="68"/>
      <c r="F405" s="68"/>
    </row>
    <row r="406" spans="1:6" x14ac:dyDescent="0.3">
      <c r="A406" s="102"/>
      <c r="B406" s="105"/>
      <c r="C406" s="70"/>
      <c r="D406" s="62"/>
      <c r="E406" s="68"/>
      <c r="F406" s="68"/>
    </row>
    <row r="407" spans="1:6" x14ac:dyDescent="0.3">
      <c r="A407" s="102"/>
      <c r="B407" s="105"/>
      <c r="C407" s="70"/>
      <c r="D407" s="62"/>
      <c r="E407" s="68"/>
      <c r="F407" s="68"/>
    </row>
    <row r="408" spans="1:6" x14ac:dyDescent="0.3">
      <c r="A408" s="102"/>
      <c r="B408" s="105"/>
      <c r="C408" s="70"/>
      <c r="D408" s="62"/>
      <c r="E408" s="68"/>
      <c r="F408" s="68"/>
    </row>
    <row r="409" spans="1:6" x14ac:dyDescent="0.3">
      <c r="A409" s="102"/>
      <c r="B409" s="105"/>
      <c r="C409" s="70"/>
      <c r="D409" s="62"/>
      <c r="E409" s="68"/>
      <c r="F409" s="68"/>
    </row>
    <row r="410" spans="1:6" x14ac:dyDescent="0.3">
      <c r="A410" s="102"/>
      <c r="B410" s="105"/>
      <c r="C410" s="70"/>
      <c r="D410" s="62"/>
      <c r="E410" s="68"/>
      <c r="F410" s="68"/>
    </row>
    <row r="411" spans="1:6" x14ac:dyDescent="0.3">
      <c r="A411" s="102"/>
      <c r="B411" s="105"/>
      <c r="C411" s="70"/>
      <c r="D411" s="62"/>
      <c r="E411" s="68"/>
      <c r="F411" s="68"/>
    </row>
    <row r="412" spans="1:6" x14ac:dyDescent="0.3">
      <c r="A412" s="102"/>
      <c r="B412" s="105"/>
      <c r="C412" s="70"/>
      <c r="D412" s="62"/>
      <c r="E412" s="68"/>
      <c r="F412" s="68"/>
    </row>
    <row r="413" spans="1:6" x14ac:dyDescent="0.3">
      <c r="A413" s="102"/>
      <c r="B413" s="105"/>
      <c r="C413" s="70"/>
      <c r="D413" s="62"/>
      <c r="E413" s="68"/>
      <c r="F413" s="68"/>
    </row>
    <row r="414" spans="1:6" x14ac:dyDescent="0.3">
      <c r="A414" s="102"/>
      <c r="B414" s="105"/>
      <c r="C414" s="70"/>
      <c r="D414" s="62"/>
      <c r="E414" s="68"/>
      <c r="F414" s="68"/>
    </row>
    <row r="415" spans="1:6" x14ac:dyDescent="0.3">
      <c r="A415" s="102"/>
      <c r="B415" s="105"/>
      <c r="C415" s="70"/>
      <c r="D415" s="62"/>
      <c r="E415" s="68"/>
      <c r="F415" s="68"/>
    </row>
    <row r="416" spans="1:6" x14ac:dyDescent="0.3">
      <c r="A416" s="102"/>
      <c r="B416" s="105"/>
      <c r="C416" s="70"/>
      <c r="D416" s="62"/>
      <c r="E416" s="68"/>
      <c r="F416" s="68"/>
    </row>
    <row r="417" spans="1:6" x14ac:dyDescent="0.3">
      <c r="A417" s="102"/>
      <c r="B417" s="105"/>
      <c r="C417" s="70"/>
      <c r="D417" s="62"/>
      <c r="E417" s="68"/>
      <c r="F417" s="68"/>
    </row>
    <row r="418" spans="1:6" x14ac:dyDescent="0.3">
      <c r="A418" s="102"/>
      <c r="B418" s="105"/>
      <c r="C418" s="70"/>
      <c r="D418" s="62"/>
      <c r="E418" s="68"/>
      <c r="F418" s="68"/>
    </row>
    <row r="419" spans="1:6" x14ac:dyDescent="0.3">
      <c r="A419" s="102"/>
      <c r="B419" s="105"/>
      <c r="C419" s="70"/>
      <c r="D419" s="62"/>
      <c r="E419" s="68"/>
      <c r="F419" s="68"/>
    </row>
    <row r="420" spans="1:6" x14ac:dyDescent="0.3">
      <c r="A420" s="102"/>
      <c r="B420" s="105"/>
      <c r="C420" s="70"/>
      <c r="D420" s="62"/>
      <c r="E420" s="68"/>
      <c r="F420" s="68"/>
    </row>
    <row r="421" spans="1:6" x14ac:dyDescent="0.3">
      <c r="A421" s="102"/>
      <c r="B421" s="105"/>
      <c r="C421" s="70"/>
      <c r="D421" s="62"/>
      <c r="E421" s="68"/>
      <c r="F421" s="68"/>
    </row>
    <row r="422" spans="1:6" x14ac:dyDescent="0.3">
      <c r="A422" s="102"/>
      <c r="B422" s="105"/>
      <c r="C422" s="70"/>
      <c r="D422" s="62"/>
      <c r="E422" s="68"/>
      <c r="F422" s="68"/>
    </row>
    <row r="423" spans="1:6" x14ac:dyDescent="0.3">
      <c r="A423" s="102"/>
      <c r="B423" s="105"/>
      <c r="C423" s="70"/>
      <c r="D423" s="62"/>
      <c r="E423" s="68"/>
      <c r="F423" s="68"/>
    </row>
    <row r="424" spans="1:6" x14ac:dyDescent="0.3">
      <c r="A424" s="102"/>
      <c r="B424" s="105"/>
      <c r="C424" s="70"/>
      <c r="D424" s="62"/>
      <c r="E424" s="68"/>
      <c r="F424" s="68"/>
    </row>
    <row r="425" spans="1:6" x14ac:dyDescent="0.3">
      <c r="A425" s="102"/>
      <c r="B425" s="105"/>
      <c r="C425" s="70"/>
      <c r="D425" s="62"/>
      <c r="E425" s="68"/>
      <c r="F425" s="68"/>
    </row>
    <row r="426" spans="1:6" x14ac:dyDescent="0.3">
      <c r="A426" s="102"/>
      <c r="B426" s="105"/>
      <c r="C426" s="70"/>
      <c r="D426" s="62"/>
      <c r="E426" s="68"/>
      <c r="F426" s="68"/>
    </row>
    <row r="427" spans="1:6" x14ac:dyDescent="0.3">
      <c r="A427" s="102"/>
      <c r="B427" s="105"/>
      <c r="C427" s="70"/>
      <c r="D427" s="62"/>
      <c r="E427" s="68"/>
      <c r="F427" s="68"/>
    </row>
    <row r="428" spans="1:6" x14ac:dyDescent="0.3">
      <c r="A428" s="102"/>
      <c r="B428" s="105"/>
      <c r="C428" s="70"/>
      <c r="D428" s="62"/>
      <c r="E428" s="68"/>
      <c r="F428" s="68"/>
    </row>
    <row r="429" spans="1:6" x14ac:dyDescent="0.3">
      <c r="A429" s="102"/>
      <c r="B429" s="105"/>
      <c r="C429" s="70"/>
      <c r="D429" s="62"/>
      <c r="E429" s="68"/>
      <c r="F429" s="68"/>
    </row>
    <row r="430" spans="1:6" x14ac:dyDescent="0.3">
      <c r="A430" s="102"/>
      <c r="B430" s="105"/>
      <c r="C430" s="70"/>
      <c r="D430" s="62"/>
      <c r="E430" s="68"/>
      <c r="F430" s="68"/>
    </row>
    <row r="431" spans="1:6" x14ac:dyDescent="0.3">
      <c r="A431" s="102"/>
      <c r="B431" s="105"/>
      <c r="C431" s="70"/>
      <c r="D431" s="62"/>
      <c r="E431" s="68"/>
      <c r="F431" s="68"/>
    </row>
    <row r="432" spans="1:6" x14ac:dyDescent="0.3">
      <c r="A432" s="102"/>
      <c r="B432" s="105"/>
      <c r="C432" s="70"/>
      <c r="D432" s="62"/>
      <c r="E432" s="68"/>
      <c r="F432" s="68"/>
    </row>
    <row r="433" spans="1:6" x14ac:dyDescent="0.3">
      <c r="A433" s="102"/>
      <c r="B433" s="105"/>
      <c r="C433" s="70"/>
      <c r="D433" s="62"/>
      <c r="E433" s="68"/>
      <c r="F433" s="68"/>
    </row>
    <row r="434" spans="1:6" x14ac:dyDescent="0.3">
      <c r="A434" s="102"/>
      <c r="B434" s="105"/>
      <c r="C434" s="70"/>
      <c r="D434" s="62"/>
      <c r="E434" s="68"/>
      <c r="F434" s="68"/>
    </row>
    <row r="435" spans="1:6" x14ac:dyDescent="0.3">
      <c r="A435" s="102"/>
      <c r="B435" s="105"/>
      <c r="C435" s="70"/>
      <c r="D435" s="62"/>
      <c r="E435" s="68"/>
      <c r="F435" s="68"/>
    </row>
    <row r="436" spans="1:6" x14ac:dyDescent="0.3">
      <c r="A436" s="102"/>
      <c r="B436" s="105"/>
      <c r="C436" s="70"/>
      <c r="D436" s="62"/>
      <c r="E436" s="68"/>
      <c r="F436" s="68"/>
    </row>
    <row r="437" spans="1:6" x14ac:dyDescent="0.3">
      <c r="A437" s="102"/>
      <c r="B437" s="105"/>
      <c r="C437" s="70"/>
      <c r="D437" s="62"/>
      <c r="E437" s="68"/>
      <c r="F437" s="68"/>
    </row>
    <row r="438" spans="1:6" x14ac:dyDescent="0.3">
      <c r="A438" s="102"/>
      <c r="B438" s="105"/>
      <c r="C438" s="70"/>
      <c r="D438" s="62"/>
      <c r="E438" s="68"/>
      <c r="F438" s="68"/>
    </row>
    <row r="439" spans="1:6" x14ac:dyDescent="0.3">
      <c r="A439" s="102"/>
      <c r="B439" s="105"/>
      <c r="C439" s="70"/>
      <c r="D439" s="62"/>
      <c r="E439" s="68"/>
      <c r="F439" s="68"/>
    </row>
    <row r="440" spans="1:6" x14ac:dyDescent="0.3">
      <c r="A440" s="102"/>
      <c r="B440" s="105"/>
      <c r="C440" s="70"/>
      <c r="D440" s="62"/>
      <c r="E440" s="68"/>
      <c r="F440" s="68"/>
    </row>
    <row r="441" spans="1:6" x14ac:dyDescent="0.3">
      <c r="A441" s="102"/>
      <c r="B441" s="105"/>
      <c r="C441" s="70"/>
      <c r="D441" s="62"/>
      <c r="E441" s="68"/>
      <c r="F441" s="68"/>
    </row>
    <row r="442" spans="1:6" x14ac:dyDescent="0.3">
      <c r="A442" s="102"/>
      <c r="B442" s="105"/>
      <c r="C442" s="70"/>
      <c r="D442" s="62"/>
      <c r="E442" s="68"/>
      <c r="F442" s="68"/>
    </row>
    <row r="443" spans="1:6" x14ac:dyDescent="0.3">
      <c r="A443" s="102"/>
      <c r="B443" s="105"/>
      <c r="C443" s="70"/>
      <c r="D443" s="62"/>
      <c r="E443" s="68"/>
      <c r="F443" s="68"/>
    </row>
    <row r="444" spans="1:6" x14ac:dyDescent="0.3">
      <c r="A444" s="102"/>
      <c r="B444" s="105"/>
      <c r="C444" s="70"/>
      <c r="D444" s="62"/>
      <c r="E444" s="68"/>
      <c r="F444" s="68"/>
    </row>
    <row r="445" spans="1:6" x14ac:dyDescent="0.3">
      <c r="A445" s="102"/>
      <c r="B445" s="105"/>
      <c r="C445" s="70"/>
      <c r="D445" s="62"/>
      <c r="E445" s="68"/>
      <c r="F445" s="68"/>
    </row>
    <row r="446" spans="1:6" x14ac:dyDescent="0.3">
      <c r="A446" s="102"/>
      <c r="B446" s="105"/>
      <c r="C446" s="70"/>
      <c r="D446" s="62"/>
      <c r="E446" s="68"/>
      <c r="F446" s="68"/>
    </row>
    <row r="447" spans="1:6" x14ac:dyDescent="0.3">
      <c r="A447" s="102"/>
      <c r="B447" s="105"/>
      <c r="C447" s="70"/>
      <c r="D447" s="62"/>
      <c r="E447" s="68"/>
      <c r="F447" s="68"/>
    </row>
    <row r="448" spans="1:6" x14ac:dyDescent="0.3">
      <c r="A448" s="102"/>
      <c r="B448" s="105"/>
      <c r="C448" s="70"/>
      <c r="D448" s="62"/>
      <c r="E448" s="68"/>
      <c r="F448" s="68"/>
    </row>
    <row r="449" spans="1:6" x14ac:dyDescent="0.3">
      <c r="A449" s="102"/>
      <c r="B449" s="105"/>
      <c r="C449" s="70"/>
      <c r="D449" s="62"/>
      <c r="E449" s="68"/>
      <c r="F449" s="68"/>
    </row>
    <row r="450" spans="1:6" x14ac:dyDescent="0.3">
      <c r="A450" s="102"/>
      <c r="B450" s="105"/>
      <c r="C450" s="70"/>
      <c r="D450" s="62"/>
      <c r="E450" s="68"/>
      <c r="F450" s="68"/>
    </row>
    <row r="451" spans="1:6" x14ac:dyDescent="0.3">
      <c r="A451" s="102"/>
      <c r="B451" s="105"/>
      <c r="C451" s="70"/>
      <c r="D451" s="62"/>
      <c r="E451" s="68"/>
      <c r="F451" s="68"/>
    </row>
    <row r="452" spans="1:6" x14ac:dyDescent="0.3">
      <c r="A452" s="102"/>
      <c r="B452" s="105"/>
      <c r="C452" s="70"/>
      <c r="D452" s="62"/>
      <c r="E452" s="68"/>
      <c r="F452" s="68"/>
    </row>
    <row r="453" spans="1:6" x14ac:dyDescent="0.3">
      <c r="A453" s="102"/>
      <c r="B453" s="105"/>
      <c r="C453" s="70"/>
      <c r="D453" s="62"/>
      <c r="E453" s="68"/>
      <c r="F453" s="68"/>
    </row>
    <row r="454" spans="1:6" x14ac:dyDescent="0.3">
      <c r="A454" s="102"/>
      <c r="B454" s="105"/>
      <c r="C454" s="70"/>
      <c r="D454" s="62"/>
      <c r="E454" s="68"/>
      <c r="F454" s="68"/>
    </row>
    <row r="455" spans="1:6" x14ac:dyDescent="0.3">
      <c r="A455" s="102"/>
      <c r="B455" s="105"/>
      <c r="C455" s="70"/>
      <c r="D455" s="62"/>
      <c r="E455" s="68"/>
      <c r="F455" s="68"/>
    </row>
    <row r="456" spans="1:6" x14ac:dyDescent="0.3">
      <c r="A456" s="102"/>
      <c r="B456" s="105"/>
      <c r="C456" s="70"/>
      <c r="D456" s="62"/>
      <c r="E456" s="68"/>
      <c r="F456" s="68"/>
    </row>
    <row r="457" spans="1:6" x14ac:dyDescent="0.3">
      <c r="A457" s="102"/>
      <c r="B457" s="105"/>
      <c r="C457" s="70"/>
      <c r="D457" s="62"/>
      <c r="E457" s="68"/>
      <c r="F457" s="68"/>
    </row>
    <row r="458" spans="1:6" x14ac:dyDescent="0.3">
      <c r="A458" s="102"/>
      <c r="B458" s="105"/>
      <c r="C458" s="70"/>
      <c r="D458" s="62"/>
      <c r="E458" s="68"/>
      <c r="F458" s="68"/>
    </row>
    <row r="459" spans="1:6" x14ac:dyDescent="0.3">
      <c r="A459" s="102"/>
      <c r="B459" s="105"/>
      <c r="C459" s="70"/>
      <c r="D459" s="62"/>
      <c r="E459" s="68"/>
      <c r="F459" s="68"/>
    </row>
    <row r="460" spans="1:6" x14ac:dyDescent="0.3">
      <c r="A460" s="102"/>
      <c r="B460" s="105"/>
      <c r="C460" s="70"/>
      <c r="D460" s="62"/>
      <c r="E460" s="68"/>
      <c r="F460" s="68"/>
    </row>
    <row r="461" spans="1:6" x14ac:dyDescent="0.3">
      <c r="A461" s="102"/>
      <c r="B461" s="105"/>
      <c r="C461" s="70"/>
      <c r="D461" s="62"/>
      <c r="E461" s="68"/>
      <c r="F461" s="68"/>
    </row>
    <row r="462" spans="1:6" x14ac:dyDescent="0.3">
      <c r="A462" s="102"/>
      <c r="B462" s="105"/>
      <c r="C462" s="70"/>
      <c r="D462" s="62"/>
      <c r="E462" s="68"/>
      <c r="F462" s="68"/>
    </row>
    <row r="463" spans="1:6" x14ac:dyDescent="0.3">
      <c r="A463" s="102"/>
      <c r="B463" s="105"/>
      <c r="C463" s="70"/>
      <c r="D463" s="62"/>
      <c r="E463" s="68"/>
      <c r="F463" s="68"/>
    </row>
    <row r="464" spans="1:6" x14ac:dyDescent="0.3">
      <c r="A464" s="102"/>
      <c r="B464" s="105"/>
      <c r="C464" s="70"/>
      <c r="D464" s="62"/>
      <c r="E464" s="68"/>
      <c r="F464" s="68"/>
    </row>
    <row r="465" spans="1:6" x14ac:dyDescent="0.3">
      <c r="A465" s="102"/>
      <c r="B465" s="105"/>
      <c r="C465" s="70"/>
      <c r="D465" s="62"/>
      <c r="E465" s="68"/>
      <c r="F465" s="68"/>
    </row>
    <row r="466" spans="1:6" x14ac:dyDescent="0.3">
      <c r="A466" s="102"/>
      <c r="B466" s="105"/>
      <c r="C466" s="70"/>
      <c r="D466" s="62"/>
      <c r="E466" s="68"/>
      <c r="F466" s="68"/>
    </row>
    <row r="467" spans="1:6" x14ac:dyDescent="0.3">
      <c r="A467" s="102"/>
      <c r="B467" s="105"/>
      <c r="C467" s="70"/>
      <c r="D467" s="62"/>
      <c r="E467" s="68"/>
      <c r="F467" s="68"/>
    </row>
    <row r="468" spans="1:6" x14ac:dyDescent="0.3">
      <c r="A468" s="102"/>
      <c r="B468" s="105"/>
      <c r="C468" s="70"/>
      <c r="D468" s="62"/>
      <c r="E468" s="68"/>
      <c r="F468" s="68"/>
    </row>
    <row r="469" spans="1:6" x14ac:dyDescent="0.3">
      <c r="A469" s="102"/>
      <c r="B469" s="105"/>
      <c r="C469" s="70"/>
      <c r="D469" s="62"/>
      <c r="E469" s="68"/>
      <c r="F469" s="68"/>
    </row>
    <row r="470" spans="1:6" x14ac:dyDescent="0.3">
      <c r="A470" s="102"/>
      <c r="B470" s="105"/>
      <c r="C470" s="70"/>
      <c r="D470" s="62"/>
      <c r="E470" s="68"/>
      <c r="F470" s="68"/>
    </row>
    <row r="471" spans="1:6" x14ac:dyDescent="0.3">
      <c r="A471" s="102"/>
      <c r="B471" s="105"/>
      <c r="C471" s="70"/>
      <c r="D471" s="62"/>
      <c r="E471" s="68"/>
      <c r="F471" s="68"/>
    </row>
    <row r="472" spans="1:6" x14ac:dyDescent="0.3">
      <c r="A472" s="102"/>
      <c r="B472" s="105"/>
      <c r="C472" s="70"/>
      <c r="D472" s="62"/>
      <c r="E472" s="68"/>
      <c r="F472" s="68"/>
    </row>
    <row r="473" spans="1:6" x14ac:dyDescent="0.3">
      <c r="A473" s="102"/>
      <c r="B473" s="105"/>
      <c r="C473" s="70"/>
      <c r="D473" s="62"/>
      <c r="E473" s="68"/>
      <c r="F473" s="68"/>
    </row>
    <row r="474" spans="1:6" x14ac:dyDescent="0.3">
      <c r="A474" s="102"/>
      <c r="B474" s="105"/>
      <c r="C474" s="70"/>
      <c r="D474" s="62"/>
      <c r="E474" s="68"/>
      <c r="F474" s="68"/>
    </row>
    <row r="475" spans="1:6" x14ac:dyDescent="0.3">
      <c r="A475" s="102"/>
      <c r="B475" s="105"/>
      <c r="C475" s="70"/>
      <c r="D475" s="62"/>
      <c r="E475" s="68"/>
      <c r="F475" s="68"/>
    </row>
    <row r="476" spans="1:6" x14ac:dyDescent="0.3">
      <c r="A476" s="102"/>
      <c r="B476" s="105"/>
      <c r="C476" s="70"/>
      <c r="D476" s="62"/>
      <c r="E476" s="68"/>
      <c r="F476" s="68"/>
    </row>
    <row r="477" spans="1:6" x14ac:dyDescent="0.3">
      <c r="A477" s="102"/>
      <c r="B477" s="105"/>
      <c r="C477" s="70"/>
      <c r="D477" s="62"/>
      <c r="E477" s="68"/>
      <c r="F477" s="68"/>
    </row>
    <row r="478" spans="1:6" x14ac:dyDescent="0.3">
      <c r="A478" s="102"/>
      <c r="B478" s="105"/>
      <c r="C478" s="70"/>
      <c r="D478" s="62"/>
      <c r="E478" s="68"/>
      <c r="F478" s="68"/>
    </row>
    <row r="479" spans="1:6" x14ac:dyDescent="0.3">
      <c r="A479" s="102"/>
      <c r="B479" s="105"/>
      <c r="C479" s="70"/>
      <c r="D479" s="62"/>
      <c r="E479" s="68"/>
      <c r="F479" s="68"/>
    </row>
    <row r="480" spans="1:6" x14ac:dyDescent="0.3">
      <c r="A480" s="102"/>
      <c r="B480" s="105"/>
      <c r="C480" s="70"/>
      <c r="D480" s="62"/>
      <c r="E480" s="68"/>
      <c r="F480" s="68"/>
    </row>
    <row r="481" spans="1:6" x14ac:dyDescent="0.3">
      <c r="A481" s="102"/>
      <c r="B481" s="105"/>
      <c r="C481" s="70"/>
      <c r="D481" s="62"/>
      <c r="E481" s="68"/>
      <c r="F481" s="68"/>
    </row>
    <row r="482" spans="1:6" x14ac:dyDescent="0.3">
      <c r="A482" s="102"/>
      <c r="B482" s="105"/>
      <c r="C482" s="70"/>
      <c r="D482" s="62"/>
      <c r="E482" s="68"/>
      <c r="F482" s="68"/>
    </row>
    <row r="483" spans="1:6" x14ac:dyDescent="0.3">
      <c r="A483" s="102"/>
      <c r="B483" s="105"/>
      <c r="C483" s="70"/>
      <c r="D483" s="62"/>
      <c r="E483" s="68"/>
      <c r="F483" s="68"/>
    </row>
    <row r="484" spans="1:6" x14ac:dyDescent="0.3">
      <c r="A484" s="102"/>
      <c r="B484" s="105"/>
      <c r="C484" s="70"/>
      <c r="D484" s="62"/>
      <c r="E484" s="68"/>
      <c r="F484" s="68"/>
    </row>
    <row r="485" spans="1:6" x14ac:dyDescent="0.3">
      <c r="A485" s="102"/>
      <c r="B485" s="105"/>
      <c r="C485" s="70"/>
      <c r="D485" s="62"/>
      <c r="E485" s="68"/>
      <c r="F485" s="68"/>
    </row>
    <row r="486" spans="1:6" x14ac:dyDescent="0.3">
      <c r="A486" s="102"/>
      <c r="B486" s="105"/>
      <c r="C486" s="70"/>
      <c r="D486" s="62"/>
      <c r="E486" s="68"/>
      <c r="F486" s="68"/>
    </row>
    <row r="487" spans="1:6" x14ac:dyDescent="0.3">
      <c r="A487" s="102"/>
      <c r="B487" s="105"/>
      <c r="C487" s="70"/>
      <c r="D487" s="62"/>
      <c r="E487" s="68"/>
      <c r="F487" s="68"/>
    </row>
    <row r="488" spans="1:6" x14ac:dyDescent="0.3">
      <c r="A488" s="102"/>
      <c r="B488" s="105"/>
      <c r="C488" s="70"/>
      <c r="D488" s="62"/>
      <c r="E488" s="68"/>
      <c r="F488" s="68"/>
    </row>
    <row r="489" spans="1:6" x14ac:dyDescent="0.3">
      <c r="A489" s="102"/>
      <c r="B489" s="105"/>
      <c r="C489" s="70"/>
      <c r="D489" s="62"/>
      <c r="E489" s="68"/>
      <c r="F489" s="68"/>
    </row>
    <row r="490" spans="1:6" x14ac:dyDescent="0.3">
      <c r="A490" s="102"/>
      <c r="B490" s="105"/>
      <c r="C490" s="70"/>
      <c r="D490" s="62"/>
      <c r="E490" s="68"/>
      <c r="F490" s="68"/>
    </row>
    <row r="491" spans="1:6" x14ac:dyDescent="0.3">
      <c r="A491" s="102"/>
      <c r="B491" s="105"/>
      <c r="C491" s="70"/>
      <c r="D491" s="62"/>
      <c r="E491" s="68"/>
      <c r="F491" s="68"/>
    </row>
    <row r="492" spans="1:6" x14ac:dyDescent="0.3">
      <c r="A492" s="102"/>
      <c r="B492" s="105"/>
      <c r="C492" s="70"/>
      <c r="D492" s="62"/>
      <c r="E492" s="68"/>
      <c r="F492" s="68"/>
    </row>
    <row r="493" spans="1:6" x14ac:dyDescent="0.3">
      <c r="A493" s="102"/>
      <c r="B493" s="105"/>
      <c r="C493" s="70"/>
      <c r="D493" s="62"/>
      <c r="E493" s="68"/>
      <c r="F493" s="68"/>
    </row>
    <row r="494" spans="1:6" x14ac:dyDescent="0.3">
      <c r="A494" s="102"/>
      <c r="B494" s="105"/>
      <c r="C494" s="70"/>
      <c r="D494" s="62"/>
      <c r="E494" s="68"/>
      <c r="F494" s="68"/>
    </row>
    <row r="495" spans="1:6" x14ac:dyDescent="0.3">
      <c r="A495" s="102"/>
      <c r="B495" s="105"/>
      <c r="C495" s="70"/>
      <c r="D495" s="62"/>
      <c r="E495" s="68"/>
      <c r="F495" s="68"/>
    </row>
    <row r="496" spans="1:6" x14ac:dyDescent="0.3">
      <c r="A496" s="102"/>
      <c r="B496" s="105"/>
      <c r="C496" s="70"/>
      <c r="D496" s="62"/>
      <c r="E496" s="68"/>
      <c r="F496" s="68"/>
    </row>
    <row r="497" spans="1:6" x14ac:dyDescent="0.3">
      <c r="A497" s="102"/>
      <c r="B497" s="105"/>
      <c r="C497" s="70"/>
      <c r="D497" s="62"/>
      <c r="E497" s="68"/>
      <c r="F497" s="68"/>
    </row>
    <row r="498" spans="1:6" x14ac:dyDescent="0.3">
      <c r="A498" s="102"/>
      <c r="B498" s="105"/>
      <c r="C498" s="70"/>
      <c r="D498" s="62"/>
      <c r="E498" s="68"/>
      <c r="F498" s="68"/>
    </row>
    <row r="499" spans="1:6" x14ac:dyDescent="0.3">
      <c r="A499" s="102"/>
      <c r="B499" s="105"/>
      <c r="C499" s="70"/>
      <c r="D499" s="62"/>
      <c r="E499" s="68"/>
      <c r="F499" s="68"/>
    </row>
    <row r="500" spans="1:6" x14ac:dyDescent="0.3">
      <c r="A500" s="102"/>
      <c r="B500" s="105"/>
      <c r="C500" s="70"/>
      <c r="D500" s="62"/>
      <c r="E500" s="68"/>
      <c r="F500" s="68"/>
    </row>
    <row r="501" spans="1:6" x14ac:dyDescent="0.3">
      <c r="A501" s="102"/>
      <c r="B501" s="105"/>
      <c r="C501" s="70"/>
      <c r="D501" s="62"/>
      <c r="E501" s="68"/>
      <c r="F501" s="68"/>
    </row>
    <row r="502" spans="1:6" x14ac:dyDescent="0.3">
      <c r="A502" s="102"/>
      <c r="B502" s="105"/>
      <c r="C502" s="70"/>
      <c r="D502" s="62"/>
      <c r="E502" s="68"/>
      <c r="F502" s="68"/>
    </row>
    <row r="503" spans="1:6" x14ac:dyDescent="0.3">
      <c r="A503" s="102"/>
      <c r="B503" s="105"/>
      <c r="C503" s="70"/>
      <c r="D503" s="62"/>
      <c r="E503" s="68"/>
      <c r="F503" s="68"/>
    </row>
    <row r="504" spans="1:6" x14ac:dyDescent="0.3">
      <c r="A504" s="102"/>
      <c r="B504" s="105"/>
      <c r="C504" s="70"/>
      <c r="D504" s="62"/>
      <c r="E504" s="68"/>
      <c r="F504" s="68"/>
    </row>
    <row r="505" spans="1:6" x14ac:dyDescent="0.3">
      <c r="A505" s="102"/>
      <c r="B505" s="105"/>
      <c r="C505" s="70"/>
      <c r="D505" s="62"/>
      <c r="E505" s="68"/>
      <c r="F505" s="68"/>
    </row>
    <row r="506" spans="1:6" x14ac:dyDescent="0.3">
      <c r="A506" s="102"/>
      <c r="B506" s="105"/>
      <c r="C506" s="70"/>
      <c r="D506" s="62"/>
      <c r="E506" s="68"/>
      <c r="F506" s="68"/>
    </row>
    <row r="507" spans="1:6" x14ac:dyDescent="0.3">
      <c r="A507" s="102"/>
      <c r="B507" s="105"/>
      <c r="C507" s="70"/>
      <c r="D507" s="62"/>
      <c r="E507" s="68"/>
      <c r="F507" s="68"/>
    </row>
    <row r="508" spans="1:6" x14ac:dyDescent="0.3">
      <c r="A508" s="102"/>
      <c r="B508" s="105"/>
      <c r="C508" s="70"/>
      <c r="D508" s="62"/>
      <c r="E508" s="68"/>
      <c r="F508" s="68"/>
    </row>
    <row r="509" spans="1:6" x14ac:dyDescent="0.3">
      <c r="A509" s="102"/>
      <c r="B509" s="105"/>
      <c r="C509" s="70"/>
      <c r="D509" s="62"/>
      <c r="E509" s="68"/>
      <c r="F509" s="68"/>
    </row>
    <row r="510" spans="1:6" x14ac:dyDescent="0.3">
      <c r="A510" s="102"/>
      <c r="B510" s="105"/>
      <c r="C510" s="70"/>
      <c r="D510" s="62"/>
      <c r="E510" s="68"/>
      <c r="F510" s="68"/>
    </row>
    <row r="511" spans="1:6" x14ac:dyDescent="0.3">
      <c r="A511" s="102"/>
      <c r="B511" s="105"/>
      <c r="C511" s="70"/>
      <c r="D511" s="62"/>
      <c r="E511" s="68"/>
      <c r="F511" s="68"/>
    </row>
    <row r="512" spans="1:6" x14ac:dyDescent="0.3">
      <c r="A512" s="102"/>
      <c r="B512" s="105"/>
      <c r="C512" s="70"/>
      <c r="D512" s="62"/>
      <c r="E512" s="68"/>
      <c r="F512" s="68"/>
    </row>
    <row r="513" spans="1:6" x14ac:dyDescent="0.3">
      <c r="A513" s="102"/>
      <c r="B513" s="105"/>
      <c r="C513" s="70"/>
      <c r="D513" s="62"/>
      <c r="E513" s="68"/>
      <c r="F513" s="68"/>
    </row>
    <row r="514" spans="1:6" x14ac:dyDescent="0.3">
      <c r="A514" s="102"/>
      <c r="B514" s="105"/>
      <c r="C514" s="70"/>
      <c r="D514" s="62"/>
      <c r="E514" s="68"/>
      <c r="F514" s="68"/>
    </row>
    <row r="515" spans="1:6" x14ac:dyDescent="0.3">
      <c r="A515" s="102"/>
      <c r="B515" s="105"/>
      <c r="C515" s="70"/>
      <c r="D515" s="62"/>
      <c r="E515" s="68"/>
      <c r="F515" s="68"/>
    </row>
    <row r="516" spans="1:6" x14ac:dyDescent="0.3">
      <c r="A516" s="102"/>
      <c r="B516" s="105"/>
      <c r="C516" s="70"/>
      <c r="D516" s="62"/>
      <c r="E516" s="68"/>
      <c r="F516" s="68"/>
    </row>
    <row r="517" spans="1:6" x14ac:dyDescent="0.3">
      <c r="A517" s="102"/>
      <c r="B517" s="105"/>
      <c r="C517" s="70"/>
      <c r="D517" s="62"/>
      <c r="E517" s="68"/>
      <c r="F517" s="68"/>
    </row>
    <row r="518" spans="1:6" x14ac:dyDescent="0.3">
      <c r="A518" s="102"/>
      <c r="B518" s="105"/>
      <c r="C518" s="70"/>
      <c r="D518" s="62"/>
      <c r="E518" s="68"/>
      <c r="F518" s="68"/>
    </row>
    <row r="519" spans="1:6" x14ac:dyDescent="0.3">
      <c r="A519" s="102"/>
      <c r="B519" s="105"/>
      <c r="C519" s="70"/>
      <c r="D519" s="62"/>
      <c r="E519" s="68"/>
      <c r="F519" s="68"/>
    </row>
    <row r="520" spans="1:6" x14ac:dyDescent="0.3">
      <c r="A520" s="102"/>
      <c r="B520" s="105"/>
      <c r="C520" s="70"/>
      <c r="D520" s="62"/>
      <c r="E520" s="68"/>
      <c r="F520" s="68"/>
    </row>
    <row r="521" spans="1:6" x14ac:dyDescent="0.3">
      <c r="A521" s="102"/>
      <c r="B521" s="105"/>
      <c r="C521" s="70"/>
      <c r="D521" s="62"/>
      <c r="E521" s="68"/>
      <c r="F521" s="68"/>
    </row>
    <row r="522" spans="1:6" x14ac:dyDescent="0.3">
      <c r="A522" s="102"/>
      <c r="B522" s="105"/>
      <c r="C522" s="70"/>
      <c r="D522" s="62"/>
      <c r="E522" s="68"/>
      <c r="F522" s="68"/>
    </row>
    <row r="523" spans="1:6" x14ac:dyDescent="0.3">
      <c r="A523" s="102"/>
      <c r="B523" s="105"/>
      <c r="C523" s="70"/>
      <c r="D523" s="62"/>
      <c r="E523" s="68"/>
      <c r="F523" s="68"/>
    </row>
    <row r="524" spans="1:6" x14ac:dyDescent="0.3">
      <c r="A524" s="102"/>
      <c r="B524" s="105"/>
      <c r="C524" s="70"/>
      <c r="D524" s="62"/>
      <c r="E524" s="68"/>
      <c r="F524" s="68"/>
    </row>
    <row r="525" spans="1:6" x14ac:dyDescent="0.3">
      <c r="A525" s="102"/>
      <c r="B525" s="105"/>
      <c r="C525" s="70"/>
      <c r="D525" s="62"/>
      <c r="E525" s="68"/>
      <c r="F525" s="68"/>
    </row>
    <row r="526" spans="1:6" x14ac:dyDescent="0.3">
      <c r="A526" s="102"/>
      <c r="B526" s="105"/>
      <c r="C526" s="70"/>
      <c r="D526" s="62"/>
      <c r="E526" s="68"/>
      <c r="F526" s="68"/>
    </row>
    <row r="527" spans="1:6" x14ac:dyDescent="0.3">
      <c r="A527" s="102"/>
      <c r="B527" s="105"/>
      <c r="C527" s="70"/>
      <c r="D527" s="62"/>
      <c r="E527" s="68"/>
      <c r="F527" s="68"/>
    </row>
    <row r="528" spans="1:6" x14ac:dyDescent="0.3">
      <c r="A528" s="102"/>
      <c r="B528" s="105"/>
      <c r="C528" s="70"/>
      <c r="D528" s="62"/>
      <c r="E528" s="68"/>
      <c r="F528" s="68"/>
    </row>
    <row r="529" spans="1:6" x14ac:dyDescent="0.3">
      <c r="A529" s="102"/>
      <c r="B529" s="105"/>
      <c r="C529" s="70"/>
      <c r="D529" s="62"/>
      <c r="E529" s="68"/>
      <c r="F529" s="68"/>
    </row>
    <row r="530" spans="1:6" x14ac:dyDescent="0.3">
      <c r="A530" s="102"/>
      <c r="B530" s="105"/>
      <c r="C530" s="70"/>
      <c r="D530" s="62"/>
      <c r="E530" s="68"/>
      <c r="F530" s="68"/>
    </row>
    <row r="531" spans="1:6" x14ac:dyDescent="0.3">
      <c r="A531" s="102"/>
      <c r="B531" s="105"/>
      <c r="C531" s="70"/>
      <c r="D531" s="62"/>
      <c r="E531" s="68"/>
      <c r="F531" s="68"/>
    </row>
    <row r="532" spans="1:6" x14ac:dyDescent="0.3">
      <c r="A532" s="102"/>
      <c r="B532" s="105"/>
      <c r="C532" s="70"/>
      <c r="D532" s="62"/>
      <c r="E532" s="68"/>
      <c r="F532" s="68"/>
    </row>
    <row r="533" spans="1:6" x14ac:dyDescent="0.3">
      <c r="A533" s="102"/>
      <c r="B533" s="105"/>
      <c r="C533" s="70"/>
      <c r="D533" s="62"/>
      <c r="E533" s="68"/>
      <c r="F533" s="68"/>
    </row>
    <row r="534" spans="1:6" x14ac:dyDescent="0.3">
      <c r="A534" s="102"/>
      <c r="B534" s="105"/>
      <c r="C534" s="70"/>
      <c r="D534" s="62"/>
      <c r="E534" s="68"/>
      <c r="F534" s="68"/>
    </row>
    <row r="535" spans="1:6" x14ac:dyDescent="0.3">
      <c r="A535" s="102"/>
      <c r="B535" s="105"/>
      <c r="C535" s="70"/>
      <c r="D535" s="62"/>
      <c r="E535" s="68"/>
      <c r="F535" s="68"/>
    </row>
    <row r="536" spans="1:6" x14ac:dyDescent="0.3">
      <c r="A536" s="102"/>
      <c r="B536" s="105"/>
      <c r="C536" s="70"/>
      <c r="D536" s="62"/>
      <c r="E536" s="68"/>
      <c r="F536" s="68"/>
    </row>
    <row r="537" spans="1:6" x14ac:dyDescent="0.3">
      <c r="A537" s="102"/>
      <c r="B537" s="105"/>
      <c r="C537" s="70"/>
      <c r="D537" s="62"/>
      <c r="E537" s="68"/>
      <c r="F537" s="68"/>
    </row>
    <row r="538" spans="1:6" x14ac:dyDescent="0.3">
      <c r="A538" s="102"/>
      <c r="B538" s="105"/>
      <c r="C538" s="70"/>
      <c r="D538" s="62"/>
      <c r="E538" s="68"/>
      <c r="F538" s="68"/>
    </row>
    <row r="539" spans="1:6" x14ac:dyDescent="0.3">
      <c r="A539" s="102"/>
      <c r="B539" s="105"/>
      <c r="C539" s="70"/>
      <c r="D539" s="62"/>
      <c r="E539" s="68"/>
      <c r="F539" s="68"/>
    </row>
    <row r="540" spans="1:6" x14ac:dyDescent="0.3">
      <c r="A540" s="102"/>
      <c r="B540" s="105"/>
      <c r="C540" s="70"/>
      <c r="D540" s="62"/>
      <c r="E540" s="68"/>
      <c r="F540" s="68"/>
    </row>
    <row r="541" spans="1:6" x14ac:dyDescent="0.3">
      <c r="A541" s="102"/>
      <c r="B541" s="105"/>
      <c r="C541" s="70"/>
      <c r="D541" s="62"/>
      <c r="E541" s="68"/>
      <c r="F541" s="68"/>
    </row>
    <row r="542" spans="1:6" x14ac:dyDescent="0.3">
      <c r="A542" s="102"/>
      <c r="B542" s="105"/>
      <c r="C542" s="70"/>
      <c r="D542" s="62"/>
      <c r="E542" s="68"/>
      <c r="F542" s="68"/>
    </row>
    <row r="543" spans="1:6" x14ac:dyDescent="0.3">
      <c r="A543" s="102"/>
      <c r="B543" s="105"/>
      <c r="C543" s="70"/>
      <c r="D543" s="62"/>
      <c r="E543" s="68"/>
      <c r="F543" s="68"/>
    </row>
    <row r="544" spans="1:6" x14ac:dyDescent="0.3">
      <c r="A544" s="102"/>
      <c r="B544" s="105"/>
      <c r="C544" s="70"/>
      <c r="D544" s="62"/>
      <c r="E544" s="68"/>
      <c r="F544" s="68"/>
    </row>
    <row r="545" spans="1:6" x14ac:dyDescent="0.3">
      <c r="A545" s="102"/>
      <c r="B545" s="105"/>
      <c r="C545" s="70"/>
      <c r="D545" s="62"/>
      <c r="E545" s="68"/>
      <c r="F545" s="68"/>
    </row>
    <row r="546" spans="1:6" x14ac:dyDescent="0.3">
      <c r="A546" s="102"/>
      <c r="B546" s="105"/>
      <c r="C546" s="70"/>
      <c r="D546" s="62"/>
      <c r="E546" s="68"/>
      <c r="F546" s="68"/>
    </row>
    <row r="547" spans="1:6" x14ac:dyDescent="0.3">
      <c r="A547" s="102"/>
      <c r="B547" s="105"/>
      <c r="C547" s="70"/>
      <c r="D547" s="62"/>
      <c r="E547" s="68"/>
      <c r="F547" s="68"/>
    </row>
    <row r="548" spans="1:6" x14ac:dyDescent="0.3">
      <c r="A548" s="102"/>
      <c r="B548" s="105"/>
      <c r="C548" s="70"/>
      <c r="D548" s="62"/>
      <c r="E548" s="68"/>
      <c r="F548" s="68"/>
    </row>
    <row r="549" spans="1:6" x14ac:dyDescent="0.3">
      <c r="A549" s="102"/>
      <c r="B549" s="105"/>
      <c r="C549" s="70"/>
      <c r="D549" s="62"/>
      <c r="E549" s="68"/>
      <c r="F549" s="68"/>
    </row>
    <row r="550" spans="1:6" x14ac:dyDescent="0.3">
      <c r="A550" s="102"/>
      <c r="B550" s="105"/>
      <c r="C550" s="70"/>
      <c r="D550" s="62"/>
      <c r="E550" s="68"/>
      <c r="F550" s="68"/>
    </row>
    <row r="551" spans="1:6" x14ac:dyDescent="0.3">
      <c r="A551" s="102"/>
      <c r="B551" s="105"/>
      <c r="C551" s="70"/>
      <c r="D551" s="62"/>
      <c r="E551" s="68"/>
      <c r="F551" s="68"/>
    </row>
    <row r="552" spans="1:6" x14ac:dyDescent="0.3">
      <c r="A552" s="102"/>
      <c r="B552" s="105"/>
      <c r="C552" s="70"/>
      <c r="D552" s="62"/>
      <c r="E552" s="68"/>
      <c r="F552" s="68"/>
    </row>
    <row r="553" spans="1:6" x14ac:dyDescent="0.3">
      <c r="A553" s="102"/>
      <c r="B553" s="105"/>
      <c r="C553" s="70"/>
      <c r="D553" s="62"/>
      <c r="E553" s="68"/>
      <c r="F553" s="68"/>
    </row>
    <row r="554" spans="1:6" x14ac:dyDescent="0.3">
      <c r="A554" s="102"/>
      <c r="B554" s="105"/>
      <c r="C554" s="70"/>
      <c r="D554" s="62"/>
      <c r="E554" s="68"/>
      <c r="F554" s="68"/>
    </row>
    <row r="555" spans="1:6" x14ac:dyDescent="0.3">
      <c r="A555" s="102"/>
      <c r="B555" s="105"/>
      <c r="C555" s="70"/>
      <c r="D555" s="62"/>
      <c r="E555" s="68"/>
      <c r="F555" s="68"/>
    </row>
    <row r="556" spans="1:6" x14ac:dyDescent="0.3">
      <c r="A556" s="102"/>
      <c r="B556" s="105"/>
      <c r="C556" s="70"/>
      <c r="D556" s="62"/>
      <c r="E556" s="68"/>
      <c r="F556" s="68"/>
    </row>
    <row r="557" spans="1:6" x14ac:dyDescent="0.3">
      <c r="A557" s="102"/>
      <c r="B557" s="105"/>
      <c r="C557" s="70"/>
      <c r="D557" s="62"/>
      <c r="E557" s="68"/>
      <c r="F557" s="68"/>
    </row>
    <row r="558" spans="1:6" x14ac:dyDescent="0.3">
      <c r="A558" s="102"/>
      <c r="B558" s="105"/>
      <c r="C558" s="70"/>
      <c r="D558" s="62"/>
      <c r="E558" s="68"/>
      <c r="F558" s="68"/>
    </row>
    <row r="559" spans="1:6" x14ac:dyDescent="0.3">
      <c r="A559" s="102"/>
      <c r="B559" s="105"/>
      <c r="C559" s="70"/>
      <c r="D559" s="62"/>
      <c r="E559" s="68"/>
      <c r="F559" s="68"/>
    </row>
    <row r="560" spans="1:6" x14ac:dyDescent="0.3">
      <c r="A560" s="102"/>
      <c r="B560" s="105"/>
      <c r="C560" s="70"/>
      <c r="D560" s="62"/>
      <c r="E560" s="68"/>
      <c r="F560" s="68"/>
    </row>
    <row r="561" spans="1:6" x14ac:dyDescent="0.3">
      <c r="A561" s="102"/>
      <c r="B561" s="105"/>
      <c r="C561" s="70"/>
      <c r="D561" s="62"/>
      <c r="E561" s="68"/>
      <c r="F561" s="68"/>
    </row>
    <row r="562" spans="1:6" x14ac:dyDescent="0.3">
      <c r="A562" s="102"/>
      <c r="B562" s="105"/>
      <c r="C562" s="70"/>
      <c r="D562" s="62"/>
      <c r="E562" s="68"/>
      <c r="F562" s="68"/>
    </row>
    <row r="563" spans="1:6" x14ac:dyDescent="0.3">
      <c r="A563" s="102"/>
      <c r="B563" s="105"/>
      <c r="C563" s="70"/>
      <c r="D563" s="62"/>
      <c r="E563" s="68"/>
      <c r="F563" s="68"/>
    </row>
    <row r="564" spans="1:6" x14ac:dyDescent="0.3">
      <c r="A564" s="102"/>
      <c r="B564" s="105"/>
      <c r="C564" s="70"/>
      <c r="D564" s="62"/>
      <c r="E564" s="68"/>
      <c r="F564" s="68"/>
    </row>
    <row r="565" spans="1:6" x14ac:dyDescent="0.3">
      <c r="A565" s="102"/>
      <c r="B565" s="105"/>
      <c r="C565" s="70"/>
      <c r="D565" s="62"/>
      <c r="E565" s="68"/>
      <c r="F565" s="68"/>
    </row>
    <row r="566" spans="1:6" x14ac:dyDescent="0.3">
      <c r="A566" s="102"/>
      <c r="B566" s="105"/>
      <c r="C566" s="70"/>
      <c r="D566" s="62"/>
      <c r="E566" s="68"/>
      <c r="F566" s="68"/>
    </row>
    <row r="567" spans="1:6" x14ac:dyDescent="0.3">
      <c r="A567" s="102"/>
      <c r="B567" s="105"/>
      <c r="C567" s="70"/>
      <c r="D567" s="62"/>
      <c r="E567" s="68"/>
      <c r="F567" s="68"/>
    </row>
    <row r="568" spans="1:6" x14ac:dyDescent="0.3">
      <c r="A568" s="102"/>
      <c r="B568" s="105"/>
      <c r="C568" s="70"/>
      <c r="D568" s="62"/>
      <c r="E568" s="68"/>
      <c r="F568" s="68"/>
    </row>
    <row r="569" spans="1:6" x14ac:dyDescent="0.3">
      <c r="A569" s="102"/>
      <c r="B569" s="105"/>
      <c r="C569" s="70"/>
      <c r="D569" s="62"/>
      <c r="E569" s="68"/>
      <c r="F569" s="68"/>
    </row>
    <row r="570" spans="1:6" x14ac:dyDescent="0.3">
      <c r="A570" s="102"/>
      <c r="B570" s="105"/>
      <c r="C570" s="70"/>
      <c r="D570" s="62"/>
      <c r="E570" s="68"/>
      <c r="F570" s="68"/>
    </row>
    <row r="571" spans="1:6" x14ac:dyDescent="0.3">
      <c r="A571" s="102"/>
      <c r="B571" s="105"/>
      <c r="C571" s="70"/>
      <c r="D571" s="62"/>
      <c r="E571" s="68"/>
      <c r="F571" s="68"/>
    </row>
    <row r="572" spans="1:6" x14ac:dyDescent="0.3">
      <c r="A572" s="102"/>
      <c r="B572" s="105"/>
      <c r="C572" s="70"/>
      <c r="D572" s="62"/>
      <c r="E572" s="68"/>
      <c r="F572" s="68"/>
    </row>
    <row r="573" spans="1:6" x14ac:dyDescent="0.3">
      <c r="A573" s="102"/>
      <c r="B573" s="105"/>
      <c r="C573" s="70"/>
      <c r="D573" s="62"/>
      <c r="E573" s="68"/>
      <c r="F573" s="68"/>
    </row>
    <row r="574" spans="1:6" x14ac:dyDescent="0.3">
      <c r="A574" s="102"/>
      <c r="B574" s="105"/>
      <c r="C574" s="70"/>
      <c r="D574" s="62"/>
      <c r="E574" s="68"/>
      <c r="F574" s="68"/>
    </row>
    <row r="575" spans="1:6" x14ac:dyDescent="0.3">
      <c r="A575" s="102"/>
      <c r="B575" s="105"/>
      <c r="C575" s="70"/>
      <c r="D575" s="62"/>
      <c r="E575" s="68"/>
      <c r="F575" s="68"/>
    </row>
    <row r="576" spans="1:6" x14ac:dyDescent="0.3">
      <c r="A576" s="102"/>
      <c r="B576" s="105"/>
      <c r="C576" s="70"/>
      <c r="D576" s="62"/>
      <c r="E576" s="68"/>
      <c r="F576" s="68"/>
    </row>
    <row r="577" spans="1:6" x14ac:dyDescent="0.3">
      <c r="A577" s="102"/>
      <c r="B577" s="105"/>
      <c r="C577" s="70"/>
      <c r="D577" s="62"/>
      <c r="E577" s="68"/>
      <c r="F577" s="68"/>
    </row>
    <row r="578" spans="1:6" x14ac:dyDescent="0.3">
      <c r="A578" s="102"/>
      <c r="B578" s="105"/>
      <c r="C578" s="70"/>
      <c r="D578" s="62"/>
      <c r="E578" s="68"/>
      <c r="F578" s="68"/>
    </row>
    <row r="579" spans="1:6" x14ac:dyDescent="0.3">
      <c r="A579" s="102"/>
      <c r="B579" s="105"/>
      <c r="C579" s="70"/>
      <c r="D579" s="62"/>
      <c r="E579" s="68"/>
      <c r="F579" s="68"/>
    </row>
    <row r="580" spans="1:6" x14ac:dyDescent="0.3">
      <c r="A580" s="102"/>
      <c r="B580" s="105"/>
      <c r="C580" s="70"/>
      <c r="D580" s="62"/>
      <c r="E580" s="68"/>
      <c r="F580" s="68"/>
    </row>
    <row r="581" spans="1:6" x14ac:dyDescent="0.3">
      <c r="A581" s="102"/>
      <c r="B581" s="105"/>
      <c r="C581" s="70"/>
      <c r="D581" s="62"/>
      <c r="E581" s="68"/>
      <c r="F581" s="68"/>
    </row>
    <row r="582" spans="1:6" x14ac:dyDescent="0.3">
      <c r="A582" s="102"/>
      <c r="B582" s="105"/>
      <c r="C582" s="70"/>
      <c r="D582" s="62"/>
      <c r="E582" s="68"/>
      <c r="F582" s="68"/>
    </row>
    <row r="583" spans="1:6" x14ac:dyDescent="0.3">
      <c r="A583" s="102"/>
      <c r="B583" s="105"/>
      <c r="C583" s="70"/>
      <c r="D583" s="62"/>
      <c r="E583" s="68"/>
      <c r="F583" s="68"/>
    </row>
    <row r="584" spans="1:6" x14ac:dyDescent="0.3">
      <c r="A584" s="102"/>
      <c r="B584" s="105"/>
      <c r="C584" s="70"/>
      <c r="D584" s="62"/>
      <c r="E584" s="68"/>
      <c r="F584" s="68"/>
    </row>
    <row r="585" spans="1:6" x14ac:dyDescent="0.3">
      <c r="A585" s="102"/>
      <c r="B585" s="105"/>
      <c r="C585" s="70"/>
      <c r="D585" s="62"/>
      <c r="E585" s="68"/>
      <c r="F585" s="68"/>
    </row>
    <row r="586" spans="1:6" x14ac:dyDescent="0.3">
      <c r="A586" s="102"/>
      <c r="B586" s="105"/>
      <c r="C586" s="70"/>
      <c r="D586" s="62"/>
      <c r="E586" s="68"/>
      <c r="F586" s="68"/>
    </row>
    <row r="587" spans="1:6" x14ac:dyDescent="0.3">
      <c r="A587" s="102"/>
      <c r="B587" s="105"/>
      <c r="C587" s="70"/>
      <c r="D587" s="62"/>
      <c r="E587" s="68"/>
      <c r="F587" s="68"/>
    </row>
    <row r="588" spans="1:6" x14ac:dyDescent="0.3">
      <c r="A588" s="103"/>
      <c r="B588" s="105"/>
      <c r="C588" s="70"/>
      <c r="D588" s="62"/>
      <c r="E588" s="68"/>
      <c r="F588" s="68"/>
    </row>
    <row r="589" spans="1:6" x14ac:dyDescent="0.3">
      <c r="A589" s="103"/>
      <c r="B589" s="105"/>
      <c r="C589" s="70"/>
      <c r="D589" s="62"/>
      <c r="E589" s="68"/>
      <c r="F589" s="68"/>
    </row>
    <row r="590" spans="1:6" x14ac:dyDescent="0.3">
      <c r="A590" s="103"/>
      <c r="B590" s="105"/>
      <c r="C590" s="70"/>
      <c r="D590" s="62"/>
      <c r="E590" s="68"/>
      <c r="F590" s="68"/>
    </row>
    <row r="591" spans="1:6" x14ac:dyDescent="0.3">
      <c r="A591" s="103"/>
      <c r="B591" s="105"/>
      <c r="C591" s="70"/>
      <c r="D591" s="62"/>
      <c r="E591" s="68"/>
      <c r="F591" s="68"/>
    </row>
    <row r="592" spans="1:6" x14ac:dyDescent="0.3">
      <c r="A592" s="103"/>
      <c r="B592" s="105"/>
      <c r="C592" s="70"/>
      <c r="D592" s="62"/>
      <c r="E592" s="68"/>
      <c r="F592" s="68"/>
    </row>
    <row r="593" spans="1:6" x14ac:dyDescent="0.3">
      <c r="A593" s="103"/>
      <c r="B593" s="105"/>
      <c r="C593" s="70"/>
      <c r="D593" s="62"/>
      <c r="E593" s="68"/>
      <c r="F593" s="68"/>
    </row>
    <row r="594" spans="1:6" x14ac:dyDescent="0.3">
      <c r="A594" s="103"/>
      <c r="B594" s="105"/>
      <c r="C594" s="70"/>
      <c r="D594" s="62"/>
      <c r="E594" s="68"/>
      <c r="F594" s="68"/>
    </row>
    <row r="595" spans="1:6" x14ac:dyDescent="0.3">
      <c r="A595" s="103"/>
      <c r="B595" s="105"/>
      <c r="C595" s="70"/>
      <c r="D595" s="62"/>
      <c r="E595" s="68"/>
      <c r="F595" s="68"/>
    </row>
    <row r="596" spans="1:6" x14ac:dyDescent="0.3">
      <c r="A596" s="103"/>
      <c r="B596" s="105"/>
      <c r="C596" s="70"/>
      <c r="D596" s="62"/>
      <c r="E596" s="68"/>
      <c r="F596" s="68"/>
    </row>
    <row r="597" spans="1:6" x14ac:dyDescent="0.3">
      <c r="A597" s="103"/>
      <c r="B597" s="105"/>
      <c r="C597" s="70"/>
      <c r="D597" s="62"/>
      <c r="E597" s="68"/>
      <c r="F597" s="68"/>
    </row>
    <row r="598" spans="1:6" x14ac:dyDescent="0.3">
      <c r="A598" s="103"/>
      <c r="B598" s="105"/>
      <c r="C598" s="70"/>
      <c r="D598" s="62"/>
      <c r="E598" s="68"/>
      <c r="F598" s="68"/>
    </row>
    <row r="599" spans="1:6" x14ac:dyDescent="0.3">
      <c r="A599" s="103"/>
      <c r="B599" s="105"/>
      <c r="C599" s="70"/>
      <c r="D599" s="62"/>
      <c r="E599" s="68"/>
      <c r="F599" s="68"/>
    </row>
    <row r="600" spans="1:6" x14ac:dyDescent="0.3">
      <c r="A600" s="103"/>
      <c r="B600" s="105"/>
      <c r="C600" s="70"/>
      <c r="D600" s="62"/>
      <c r="E600" s="68"/>
      <c r="F600" s="68"/>
    </row>
    <row r="601" spans="1:6" x14ac:dyDescent="0.3">
      <c r="A601" s="103"/>
      <c r="B601" s="105"/>
      <c r="C601" s="70"/>
      <c r="D601" s="62"/>
      <c r="E601" s="68"/>
      <c r="F601" s="68"/>
    </row>
    <row r="602" spans="1:6" x14ac:dyDescent="0.3">
      <c r="A602" s="103"/>
      <c r="B602" s="105"/>
      <c r="C602" s="70"/>
      <c r="D602" s="62"/>
      <c r="E602" s="68"/>
      <c r="F602" s="68"/>
    </row>
    <row r="603" spans="1:6" x14ac:dyDescent="0.3">
      <c r="A603" s="103"/>
      <c r="B603" s="105"/>
      <c r="C603" s="70"/>
      <c r="D603" s="62"/>
      <c r="E603" s="68"/>
      <c r="F603" s="68"/>
    </row>
    <row r="604" spans="1:6" x14ac:dyDescent="0.3">
      <c r="A604" s="103"/>
      <c r="B604" s="105"/>
      <c r="C604" s="70"/>
      <c r="D604" s="62"/>
      <c r="E604" s="68"/>
      <c r="F604" s="68"/>
    </row>
    <row r="605" spans="1:6" x14ac:dyDescent="0.3">
      <c r="A605" s="103"/>
      <c r="B605" s="105"/>
      <c r="C605" s="70"/>
      <c r="D605" s="62"/>
      <c r="E605" s="68"/>
      <c r="F605" s="68"/>
    </row>
    <row r="606" spans="1:6" x14ac:dyDescent="0.3">
      <c r="A606" s="103"/>
      <c r="B606" s="105"/>
      <c r="C606" s="70"/>
      <c r="D606" s="62"/>
      <c r="E606" s="68"/>
      <c r="F606" s="68"/>
    </row>
    <row r="607" spans="1:6" x14ac:dyDescent="0.3">
      <c r="A607" s="103"/>
      <c r="B607" s="105"/>
      <c r="C607" s="70"/>
      <c r="D607" s="62"/>
      <c r="E607" s="68"/>
      <c r="F607" s="68"/>
    </row>
    <row r="608" spans="1:6" x14ac:dyDescent="0.3">
      <c r="A608" s="103"/>
      <c r="B608" s="105"/>
      <c r="C608" s="70"/>
      <c r="D608" s="62"/>
      <c r="E608" s="68"/>
      <c r="F608" s="68"/>
    </row>
    <row r="609" spans="1:6" x14ac:dyDescent="0.3">
      <c r="A609" s="103"/>
      <c r="B609" s="105"/>
      <c r="C609" s="70"/>
      <c r="D609" s="62"/>
      <c r="E609" s="68"/>
      <c r="F609" s="68"/>
    </row>
    <row r="610" spans="1:6" x14ac:dyDescent="0.3">
      <c r="A610" s="103"/>
      <c r="B610" s="105"/>
      <c r="C610" s="70"/>
      <c r="D610" s="62"/>
      <c r="E610" s="68"/>
      <c r="F610" s="68"/>
    </row>
    <row r="611" spans="1:6" x14ac:dyDescent="0.3">
      <c r="A611" s="103"/>
      <c r="B611" s="105"/>
      <c r="C611" s="70"/>
      <c r="D611" s="62"/>
      <c r="E611" s="68"/>
      <c r="F611" s="68"/>
    </row>
    <row r="612" spans="1:6" x14ac:dyDescent="0.3">
      <c r="A612" s="103"/>
      <c r="B612" s="105"/>
      <c r="C612" s="70"/>
      <c r="D612" s="62"/>
      <c r="E612" s="68"/>
      <c r="F612" s="68"/>
    </row>
    <row r="613" spans="1:6" x14ac:dyDescent="0.3">
      <c r="A613" s="103"/>
      <c r="B613" s="105"/>
      <c r="C613" s="70"/>
      <c r="D613" s="62"/>
      <c r="E613" s="68"/>
      <c r="F613" s="68"/>
    </row>
    <row r="614" spans="1:6" x14ac:dyDescent="0.3">
      <c r="A614" s="103"/>
      <c r="B614" s="105"/>
      <c r="C614" s="70"/>
      <c r="D614" s="62"/>
      <c r="E614" s="68"/>
      <c r="F614" s="68"/>
    </row>
    <row r="615" spans="1:6" x14ac:dyDescent="0.3">
      <c r="A615" s="103"/>
      <c r="B615" s="105"/>
      <c r="C615" s="70"/>
      <c r="D615" s="62"/>
      <c r="E615" s="68"/>
      <c r="F615" s="68"/>
    </row>
    <row r="616" spans="1:6" x14ac:dyDescent="0.3">
      <c r="A616" s="103"/>
      <c r="B616" s="105"/>
      <c r="C616" s="70"/>
      <c r="D616" s="62"/>
      <c r="E616" s="68"/>
      <c r="F616" s="68"/>
    </row>
    <row r="617" spans="1:6" x14ac:dyDescent="0.3">
      <c r="A617" s="103"/>
      <c r="B617" s="105"/>
      <c r="C617" s="70"/>
      <c r="D617" s="62"/>
      <c r="E617" s="68"/>
      <c r="F617" s="68"/>
    </row>
    <row r="618" spans="1:6" x14ac:dyDescent="0.3">
      <c r="A618" s="103"/>
      <c r="B618" s="105"/>
      <c r="C618" s="70"/>
      <c r="D618" s="62"/>
      <c r="E618" s="68"/>
      <c r="F618" s="68"/>
    </row>
    <row r="619" spans="1:6" x14ac:dyDescent="0.3">
      <c r="A619" s="103"/>
      <c r="B619" s="105"/>
      <c r="C619" s="70"/>
      <c r="D619" s="62"/>
      <c r="E619" s="68"/>
      <c r="F619" s="68"/>
    </row>
    <row r="620" spans="1:6" x14ac:dyDescent="0.3">
      <c r="A620" s="103"/>
      <c r="B620" s="105"/>
      <c r="C620" s="70"/>
      <c r="D620" s="62"/>
      <c r="E620" s="68"/>
      <c r="F620" s="68"/>
    </row>
    <row r="621" spans="1:6" x14ac:dyDescent="0.3">
      <c r="A621" s="103"/>
      <c r="B621" s="105"/>
      <c r="C621" s="70"/>
      <c r="D621" s="62"/>
      <c r="E621" s="68"/>
      <c r="F621" s="68"/>
    </row>
    <row r="622" spans="1:6" x14ac:dyDescent="0.3">
      <c r="A622" s="103"/>
      <c r="B622" s="105"/>
      <c r="C622" s="70"/>
      <c r="D622" s="62"/>
      <c r="E622" s="68"/>
      <c r="F622" s="68"/>
    </row>
    <row r="623" spans="1:6" x14ac:dyDescent="0.3">
      <c r="A623" s="103"/>
      <c r="B623" s="105"/>
      <c r="C623" s="70"/>
      <c r="D623" s="62"/>
      <c r="E623" s="68"/>
      <c r="F623" s="68"/>
    </row>
    <row r="624" spans="1:6" x14ac:dyDescent="0.3">
      <c r="A624" s="103"/>
      <c r="B624" s="105"/>
      <c r="C624" s="70"/>
      <c r="D624" s="62"/>
      <c r="E624" s="68"/>
      <c r="F624" s="68"/>
    </row>
    <row r="625" spans="1:6" x14ac:dyDescent="0.3">
      <c r="A625" s="103"/>
      <c r="B625" s="105"/>
      <c r="C625" s="70"/>
      <c r="D625" s="62"/>
      <c r="E625" s="68"/>
      <c r="F625" s="68"/>
    </row>
    <row r="626" spans="1:6" x14ac:dyDescent="0.3">
      <c r="A626" s="103"/>
      <c r="B626" s="105"/>
      <c r="C626" s="70"/>
      <c r="D626" s="62"/>
      <c r="E626" s="68"/>
      <c r="F626" s="68"/>
    </row>
    <row r="627" spans="1:6" x14ac:dyDescent="0.3">
      <c r="A627" s="103"/>
      <c r="B627" s="105"/>
      <c r="C627" s="70"/>
      <c r="D627" s="62"/>
      <c r="E627" s="68"/>
      <c r="F627" s="68"/>
    </row>
    <row r="628" spans="1:6" x14ac:dyDescent="0.3">
      <c r="A628" s="103"/>
      <c r="B628" s="105"/>
      <c r="C628" s="70"/>
      <c r="D628" s="62"/>
      <c r="E628" s="68"/>
      <c r="F628" s="68"/>
    </row>
    <row r="629" spans="1:6" x14ac:dyDescent="0.3">
      <c r="A629" s="103"/>
      <c r="B629" s="105"/>
      <c r="C629" s="70"/>
      <c r="D629" s="62"/>
      <c r="E629" s="68"/>
      <c r="F629" s="68"/>
    </row>
    <row r="630" spans="1:6" x14ac:dyDescent="0.3">
      <c r="A630" s="103"/>
      <c r="B630" s="105"/>
      <c r="C630" s="70"/>
      <c r="D630" s="62"/>
      <c r="E630" s="68"/>
      <c r="F630" s="68"/>
    </row>
    <row r="631" spans="1:6" x14ac:dyDescent="0.3">
      <c r="A631" s="103"/>
      <c r="B631" s="105"/>
      <c r="C631" s="70"/>
      <c r="D631" s="62"/>
      <c r="E631" s="68"/>
      <c r="F631" s="68"/>
    </row>
    <row r="632" spans="1:6" x14ac:dyDescent="0.3">
      <c r="A632" s="103"/>
      <c r="B632" s="105"/>
      <c r="C632" s="70"/>
      <c r="D632" s="62"/>
      <c r="E632" s="68"/>
      <c r="F632" s="68"/>
    </row>
    <row r="633" spans="1:6" x14ac:dyDescent="0.3">
      <c r="A633" s="103"/>
      <c r="B633" s="105"/>
      <c r="C633" s="70"/>
      <c r="D633" s="62"/>
      <c r="E633" s="68"/>
      <c r="F633" s="68"/>
    </row>
    <row r="634" spans="1:6" x14ac:dyDescent="0.3">
      <c r="A634" s="103"/>
      <c r="B634" s="105"/>
      <c r="C634" s="70"/>
      <c r="D634" s="62"/>
      <c r="E634" s="68"/>
      <c r="F634" s="68"/>
    </row>
    <row r="635" spans="1:6" x14ac:dyDescent="0.3">
      <c r="A635" s="103"/>
      <c r="B635" s="105"/>
      <c r="C635" s="70"/>
      <c r="D635" s="62"/>
      <c r="E635" s="68"/>
      <c r="F635" s="68"/>
    </row>
    <row r="636" spans="1:6" x14ac:dyDescent="0.3">
      <c r="A636" s="103"/>
      <c r="B636" s="105"/>
      <c r="C636" s="70"/>
      <c r="D636" s="62"/>
      <c r="E636" s="68"/>
      <c r="F636" s="68"/>
    </row>
    <row r="637" spans="1:6" x14ac:dyDescent="0.3">
      <c r="A637" s="103"/>
      <c r="B637" s="105"/>
      <c r="C637" s="70"/>
      <c r="D637" s="62"/>
      <c r="E637" s="68"/>
      <c r="F637" s="68"/>
    </row>
    <row r="638" spans="1:6" x14ac:dyDescent="0.3">
      <c r="A638" s="103"/>
      <c r="B638" s="105"/>
      <c r="C638" s="70"/>
      <c r="D638" s="62"/>
      <c r="E638" s="68"/>
      <c r="F638" s="68"/>
    </row>
    <row r="639" spans="1:6" x14ac:dyDescent="0.3">
      <c r="A639" s="103"/>
      <c r="B639" s="105"/>
      <c r="C639" s="70"/>
      <c r="D639" s="62"/>
      <c r="E639" s="68"/>
      <c r="F639" s="68"/>
    </row>
    <row r="640" spans="1:6" x14ac:dyDescent="0.3">
      <c r="A640" s="103"/>
      <c r="B640" s="105"/>
      <c r="C640" s="70"/>
      <c r="D640" s="62"/>
      <c r="E640" s="68"/>
      <c r="F640" s="68"/>
    </row>
    <row r="641" spans="1:6" x14ac:dyDescent="0.3">
      <c r="A641" s="103"/>
      <c r="B641" s="105"/>
      <c r="C641" s="70"/>
      <c r="D641" s="62"/>
      <c r="E641" s="68"/>
      <c r="F641" s="68"/>
    </row>
    <row r="642" spans="1:6" x14ac:dyDescent="0.3">
      <c r="A642" s="103"/>
      <c r="B642" s="105"/>
      <c r="C642" s="70"/>
      <c r="D642" s="62"/>
      <c r="E642" s="68"/>
      <c r="F642" s="68"/>
    </row>
    <row r="643" spans="1:6" x14ac:dyDescent="0.3">
      <c r="A643" s="103"/>
      <c r="B643" s="105"/>
      <c r="C643" s="70"/>
      <c r="D643" s="62"/>
      <c r="E643" s="68"/>
      <c r="F643" s="68"/>
    </row>
    <row r="644" spans="1:6" x14ac:dyDescent="0.3">
      <c r="A644" s="103"/>
      <c r="B644" s="105"/>
      <c r="C644" s="70"/>
      <c r="D644" s="62"/>
      <c r="E644" s="68"/>
      <c r="F644" s="68"/>
    </row>
    <row r="645" spans="1:6" x14ac:dyDescent="0.3">
      <c r="A645" s="103"/>
      <c r="B645" s="105"/>
      <c r="C645" s="70"/>
      <c r="D645" s="62"/>
      <c r="E645" s="68"/>
      <c r="F645" s="68"/>
    </row>
    <row r="646" spans="1:6" x14ac:dyDescent="0.3">
      <c r="A646" s="103"/>
      <c r="B646" s="105"/>
      <c r="C646" s="70"/>
      <c r="D646" s="62"/>
      <c r="E646" s="68"/>
      <c r="F646" s="68"/>
    </row>
    <row r="647" spans="1:6" x14ac:dyDescent="0.3">
      <c r="A647" s="103"/>
      <c r="B647" s="105"/>
      <c r="C647" s="70"/>
      <c r="D647" s="62"/>
      <c r="E647" s="68"/>
      <c r="F647" s="68"/>
    </row>
    <row r="648" spans="1:6" x14ac:dyDescent="0.3">
      <c r="A648" s="103"/>
      <c r="B648" s="105"/>
      <c r="C648" s="70"/>
      <c r="D648" s="62"/>
      <c r="E648" s="68"/>
      <c r="F648" s="68"/>
    </row>
    <row r="649" spans="1:6" x14ac:dyDescent="0.3">
      <c r="A649" s="103"/>
      <c r="B649" s="105"/>
      <c r="C649" s="70"/>
      <c r="D649" s="62"/>
      <c r="E649" s="68"/>
      <c r="F649" s="68"/>
    </row>
    <row r="650" spans="1:6" x14ac:dyDescent="0.3">
      <c r="A650" s="103"/>
      <c r="B650" s="105"/>
      <c r="C650" s="70"/>
      <c r="D650" s="62"/>
      <c r="E650" s="68"/>
      <c r="F650" s="68"/>
    </row>
    <row r="651" spans="1:6" x14ac:dyDescent="0.3">
      <c r="A651" s="103"/>
      <c r="B651" s="105"/>
      <c r="C651" s="70"/>
      <c r="D651" s="62"/>
      <c r="E651" s="68"/>
      <c r="F651" s="68"/>
    </row>
    <row r="652" spans="1:6" x14ac:dyDescent="0.3">
      <c r="A652" s="103"/>
      <c r="B652" s="105"/>
      <c r="C652" s="70"/>
      <c r="D652" s="62"/>
      <c r="E652" s="68"/>
      <c r="F652" s="68"/>
    </row>
    <row r="653" spans="1:6" x14ac:dyDescent="0.3">
      <c r="A653" s="103"/>
      <c r="B653" s="105"/>
      <c r="C653" s="70"/>
      <c r="D653" s="62"/>
      <c r="E653" s="68"/>
      <c r="F653" s="68"/>
    </row>
    <row r="654" spans="1:6" x14ac:dyDescent="0.3">
      <c r="A654" s="103"/>
      <c r="B654" s="105"/>
      <c r="C654" s="70"/>
      <c r="D654" s="62"/>
      <c r="E654" s="68"/>
      <c r="F654" s="68"/>
    </row>
    <row r="655" spans="1:6" x14ac:dyDescent="0.3">
      <c r="A655" s="103"/>
      <c r="B655" s="105"/>
      <c r="C655" s="70"/>
      <c r="D655" s="62"/>
      <c r="E655" s="68"/>
      <c r="F655" s="68"/>
    </row>
    <row r="656" spans="1:6" x14ac:dyDescent="0.3">
      <c r="A656" s="103"/>
      <c r="B656" s="105"/>
      <c r="C656" s="70"/>
      <c r="D656" s="62"/>
      <c r="E656" s="68"/>
      <c r="F656" s="68"/>
    </row>
    <row r="657" spans="1:6" x14ac:dyDescent="0.3">
      <c r="A657" s="103"/>
      <c r="B657" s="105"/>
      <c r="C657" s="70"/>
      <c r="D657" s="62"/>
      <c r="E657" s="68"/>
      <c r="F657" s="68"/>
    </row>
    <row r="658" spans="1:6" x14ac:dyDescent="0.3">
      <c r="A658" s="103"/>
      <c r="B658" s="105"/>
      <c r="C658" s="70"/>
      <c r="D658" s="62"/>
      <c r="E658" s="68"/>
      <c r="F658" s="68"/>
    </row>
    <row r="659" spans="1:6" x14ac:dyDescent="0.3">
      <c r="A659" s="103"/>
      <c r="B659" s="105"/>
      <c r="C659" s="70"/>
      <c r="D659" s="62"/>
      <c r="E659" s="68"/>
      <c r="F659" s="68"/>
    </row>
    <row r="660" spans="1:6" x14ac:dyDescent="0.3">
      <c r="A660" s="103"/>
      <c r="B660" s="105"/>
      <c r="C660" s="70"/>
      <c r="D660" s="62"/>
      <c r="E660" s="68"/>
      <c r="F660" s="68"/>
    </row>
    <row r="661" spans="1:6" x14ac:dyDescent="0.3">
      <c r="A661" s="103"/>
      <c r="B661" s="105"/>
      <c r="C661" s="70"/>
      <c r="D661" s="62"/>
      <c r="E661" s="68"/>
      <c r="F661" s="68"/>
    </row>
    <row r="662" spans="1:6" x14ac:dyDescent="0.3">
      <c r="A662" s="103"/>
      <c r="B662" s="105"/>
      <c r="C662" s="70"/>
      <c r="D662" s="62"/>
      <c r="E662" s="68"/>
      <c r="F662" s="68"/>
    </row>
    <row r="663" spans="1:6" x14ac:dyDescent="0.3">
      <c r="A663" s="103"/>
      <c r="B663" s="105"/>
      <c r="C663" s="70"/>
      <c r="D663" s="62"/>
      <c r="E663" s="68"/>
      <c r="F663" s="68"/>
    </row>
    <row r="664" spans="1:6" x14ac:dyDescent="0.3">
      <c r="A664" s="103"/>
      <c r="B664" s="105"/>
      <c r="C664" s="70"/>
      <c r="D664" s="62"/>
      <c r="E664" s="68"/>
      <c r="F664" s="68"/>
    </row>
    <row r="665" spans="1:6" x14ac:dyDescent="0.3">
      <c r="A665" s="103"/>
      <c r="B665" s="105"/>
      <c r="C665" s="70"/>
      <c r="D665" s="62"/>
      <c r="E665" s="68"/>
      <c r="F665" s="68"/>
    </row>
    <row r="666" spans="1:6" x14ac:dyDescent="0.3">
      <c r="A666" s="103"/>
      <c r="B666" s="105"/>
      <c r="C666" s="70"/>
      <c r="D666" s="62"/>
      <c r="E666" s="68"/>
      <c r="F666" s="68"/>
    </row>
    <row r="667" spans="1:6" x14ac:dyDescent="0.3">
      <c r="A667" s="103"/>
      <c r="B667" s="105"/>
      <c r="C667" s="70"/>
      <c r="D667" s="62"/>
      <c r="E667" s="68"/>
      <c r="F667" s="68"/>
    </row>
    <row r="668" spans="1:6" x14ac:dyDescent="0.3">
      <c r="A668" s="103"/>
      <c r="B668" s="105"/>
      <c r="C668" s="70"/>
      <c r="D668" s="62"/>
      <c r="E668" s="68"/>
      <c r="F668" s="68"/>
    </row>
    <row r="669" spans="1:6" x14ac:dyDescent="0.3">
      <c r="A669" s="103"/>
      <c r="B669" s="105"/>
      <c r="C669" s="70"/>
      <c r="D669" s="62"/>
      <c r="E669" s="68"/>
      <c r="F669" s="68"/>
    </row>
    <row r="670" spans="1:6" x14ac:dyDescent="0.3">
      <c r="A670" s="103"/>
      <c r="B670" s="105"/>
      <c r="C670" s="70"/>
      <c r="D670" s="62"/>
      <c r="E670" s="68"/>
      <c r="F670" s="68"/>
    </row>
    <row r="671" spans="1:6" x14ac:dyDescent="0.3">
      <c r="A671" s="103"/>
      <c r="B671" s="105"/>
      <c r="C671" s="70"/>
      <c r="D671" s="62"/>
      <c r="E671" s="68"/>
      <c r="F671" s="68"/>
    </row>
    <row r="672" spans="1:6" x14ac:dyDescent="0.3">
      <c r="A672" s="103"/>
      <c r="B672" s="105"/>
      <c r="C672" s="70"/>
      <c r="D672" s="62"/>
      <c r="E672" s="68"/>
      <c r="F672" s="68"/>
    </row>
    <row r="673" spans="1:6" x14ac:dyDescent="0.3">
      <c r="A673" s="103"/>
      <c r="B673" s="105"/>
      <c r="C673" s="70"/>
      <c r="D673" s="62"/>
      <c r="E673" s="68"/>
      <c r="F673" s="68"/>
    </row>
    <row r="674" spans="1:6" x14ac:dyDescent="0.3">
      <c r="A674" s="103"/>
      <c r="B674" s="105"/>
      <c r="C674" s="70"/>
      <c r="D674" s="62"/>
      <c r="E674" s="68"/>
      <c r="F674" s="68"/>
    </row>
    <row r="675" spans="1:6" x14ac:dyDescent="0.3">
      <c r="A675" s="103"/>
      <c r="B675" s="105"/>
      <c r="C675" s="70"/>
      <c r="D675" s="62"/>
      <c r="E675" s="68"/>
      <c r="F675" s="68"/>
    </row>
    <row r="676" spans="1:6" x14ac:dyDescent="0.3">
      <c r="A676" s="103"/>
      <c r="B676" s="105"/>
      <c r="C676" s="70"/>
      <c r="D676" s="62"/>
      <c r="E676" s="68"/>
      <c r="F676" s="68"/>
    </row>
    <row r="677" spans="1:6" x14ac:dyDescent="0.3">
      <c r="A677" s="103"/>
      <c r="B677" s="105"/>
      <c r="C677" s="70"/>
      <c r="D677" s="62"/>
      <c r="E677" s="68"/>
      <c r="F677" s="68"/>
    </row>
    <row r="678" spans="1:6" x14ac:dyDescent="0.3">
      <c r="A678" s="103"/>
      <c r="B678" s="105"/>
      <c r="C678" s="70"/>
      <c r="D678" s="62"/>
      <c r="E678" s="68"/>
      <c r="F678" s="68"/>
    </row>
    <row r="679" spans="1:6" x14ac:dyDescent="0.3">
      <c r="A679" s="103"/>
      <c r="B679" s="105"/>
      <c r="C679" s="70"/>
      <c r="D679" s="62"/>
      <c r="E679" s="68"/>
      <c r="F679" s="68"/>
    </row>
    <row r="680" spans="1:6" x14ac:dyDescent="0.3">
      <c r="A680" s="103"/>
      <c r="B680" s="105"/>
      <c r="C680" s="70"/>
      <c r="D680" s="62"/>
      <c r="E680" s="68"/>
      <c r="F680" s="68"/>
    </row>
    <row r="681" spans="1:6" x14ac:dyDescent="0.3">
      <c r="A681" s="103"/>
      <c r="B681" s="105"/>
      <c r="C681" s="70"/>
      <c r="D681" s="62"/>
      <c r="E681" s="68"/>
      <c r="F681" s="68"/>
    </row>
    <row r="682" spans="1:6" x14ac:dyDescent="0.3">
      <c r="A682" s="103"/>
      <c r="B682" s="105"/>
      <c r="C682" s="70"/>
      <c r="D682" s="62"/>
      <c r="E682" s="68"/>
      <c r="F682" s="68"/>
    </row>
    <row r="683" spans="1:6" x14ac:dyDescent="0.3">
      <c r="A683" s="103"/>
      <c r="B683" s="105"/>
      <c r="C683" s="70"/>
      <c r="D683" s="62"/>
      <c r="E683" s="68"/>
      <c r="F683" s="68"/>
    </row>
    <row r="684" spans="1:6" x14ac:dyDescent="0.3">
      <c r="A684" s="103"/>
      <c r="B684" s="105"/>
      <c r="C684" s="70"/>
      <c r="D684" s="62"/>
      <c r="E684" s="68"/>
      <c r="F684" s="68"/>
    </row>
    <row r="685" spans="1:6" x14ac:dyDescent="0.3">
      <c r="A685" s="103"/>
      <c r="B685" s="105"/>
      <c r="C685" s="70"/>
      <c r="D685" s="62"/>
      <c r="E685" s="68"/>
      <c r="F685" s="68"/>
    </row>
    <row r="686" spans="1:6" x14ac:dyDescent="0.3">
      <c r="A686" s="103"/>
      <c r="B686" s="105"/>
      <c r="C686" s="70"/>
      <c r="D686" s="62"/>
      <c r="E686" s="68"/>
      <c r="F686" s="68"/>
    </row>
    <row r="687" spans="1:6" x14ac:dyDescent="0.3">
      <c r="A687" s="103"/>
      <c r="B687" s="105"/>
      <c r="C687" s="70"/>
      <c r="D687" s="62"/>
      <c r="E687" s="68"/>
      <c r="F687" s="68"/>
    </row>
    <row r="688" spans="1:6" x14ac:dyDescent="0.3">
      <c r="A688" s="103"/>
      <c r="B688" s="105"/>
      <c r="C688" s="70"/>
      <c r="D688" s="62"/>
      <c r="E688" s="68"/>
      <c r="F688" s="68"/>
    </row>
    <row r="689" spans="1:6" x14ac:dyDescent="0.3">
      <c r="A689" s="103"/>
      <c r="B689" s="105"/>
      <c r="C689" s="70"/>
      <c r="D689" s="62"/>
      <c r="E689" s="68"/>
      <c r="F689" s="68"/>
    </row>
    <row r="690" spans="1:6" x14ac:dyDescent="0.3">
      <c r="A690" s="103"/>
      <c r="B690" s="105"/>
      <c r="C690" s="70"/>
      <c r="D690" s="62"/>
      <c r="E690" s="68"/>
      <c r="F690" s="68"/>
    </row>
    <row r="691" spans="1:6" x14ac:dyDescent="0.3">
      <c r="A691" s="103"/>
      <c r="B691" s="105"/>
      <c r="C691" s="70"/>
      <c r="D691" s="62"/>
      <c r="E691" s="68"/>
      <c r="F691" s="68"/>
    </row>
    <row r="692" spans="1:6" x14ac:dyDescent="0.3">
      <c r="A692" s="103"/>
      <c r="B692" s="105"/>
      <c r="C692" s="70"/>
      <c r="D692" s="62"/>
      <c r="E692" s="68"/>
      <c r="F692" s="68"/>
    </row>
    <row r="693" spans="1:6" x14ac:dyDescent="0.3">
      <c r="A693" s="103"/>
      <c r="B693" s="105"/>
      <c r="C693" s="70"/>
      <c r="D693" s="62"/>
      <c r="E693" s="68"/>
      <c r="F693" s="68"/>
    </row>
    <row r="694" spans="1:6" x14ac:dyDescent="0.3">
      <c r="A694" s="103"/>
      <c r="B694" s="105"/>
      <c r="C694" s="70"/>
      <c r="D694" s="62"/>
      <c r="E694" s="68"/>
      <c r="F694" s="68"/>
    </row>
    <row r="695" spans="1:6" x14ac:dyDescent="0.3">
      <c r="A695" s="103"/>
      <c r="B695" s="105"/>
      <c r="C695" s="70"/>
      <c r="D695" s="62"/>
      <c r="E695" s="68"/>
      <c r="F695" s="68"/>
    </row>
    <row r="696" spans="1:6" x14ac:dyDescent="0.3">
      <c r="A696" s="103"/>
      <c r="B696" s="105"/>
      <c r="C696" s="70"/>
      <c r="D696" s="62"/>
      <c r="E696" s="68"/>
      <c r="F696" s="68"/>
    </row>
    <row r="697" spans="1:6" x14ac:dyDescent="0.3">
      <c r="A697" s="103"/>
      <c r="B697" s="105"/>
      <c r="C697" s="70"/>
      <c r="D697" s="62"/>
      <c r="E697" s="68"/>
      <c r="F697" s="68"/>
    </row>
    <row r="698" spans="1:6" x14ac:dyDescent="0.3">
      <c r="A698" s="103"/>
      <c r="B698" s="105"/>
      <c r="C698" s="70"/>
      <c r="D698" s="62"/>
      <c r="E698" s="68"/>
      <c r="F698" s="68"/>
    </row>
    <row r="699" spans="1:6" x14ac:dyDescent="0.3">
      <c r="A699" s="103"/>
      <c r="B699" s="105"/>
      <c r="C699" s="70"/>
      <c r="D699" s="62"/>
      <c r="E699" s="68"/>
      <c r="F699" s="68"/>
    </row>
    <row r="700" spans="1:6" x14ac:dyDescent="0.3">
      <c r="A700" s="103"/>
      <c r="B700" s="105"/>
      <c r="C700" s="70"/>
      <c r="D700" s="62"/>
      <c r="E700" s="68"/>
      <c r="F700" s="68"/>
    </row>
    <row r="701" spans="1:6" x14ac:dyDescent="0.3">
      <c r="A701" s="103"/>
      <c r="B701" s="105"/>
      <c r="C701" s="70"/>
      <c r="D701" s="62"/>
      <c r="E701" s="68"/>
      <c r="F701" s="68"/>
    </row>
    <row r="702" spans="1:6" x14ac:dyDescent="0.3">
      <c r="A702" s="103"/>
      <c r="B702" s="105"/>
      <c r="C702" s="70"/>
      <c r="D702" s="62"/>
      <c r="E702" s="68"/>
      <c r="F702" s="68"/>
    </row>
    <row r="703" spans="1:6" x14ac:dyDescent="0.3">
      <c r="A703" s="103"/>
      <c r="B703" s="105"/>
      <c r="C703" s="70"/>
      <c r="D703" s="62"/>
      <c r="E703" s="68"/>
      <c r="F703" s="68"/>
    </row>
    <row r="704" spans="1:6" x14ac:dyDescent="0.3">
      <c r="A704" s="103"/>
      <c r="B704" s="105"/>
      <c r="C704" s="70"/>
      <c r="D704" s="62"/>
      <c r="E704" s="68"/>
      <c r="F704" s="68"/>
    </row>
    <row r="705" spans="1:6" x14ac:dyDescent="0.3">
      <c r="A705" s="103"/>
      <c r="B705" s="105"/>
      <c r="C705" s="70"/>
      <c r="D705" s="62"/>
      <c r="E705" s="68"/>
      <c r="F705" s="68"/>
    </row>
    <row r="706" spans="1:6" x14ac:dyDescent="0.3">
      <c r="A706" s="103"/>
      <c r="B706" s="105"/>
      <c r="C706" s="70"/>
      <c r="D706" s="62"/>
      <c r="E706" s="68"/>
      <c r="F706" s="68"/>
    </row>
    <row r="707" spans="1:6" x14ac:dyDescent="0.3">
      <c r="A707" s="103"/>
      <c r="B707" s="105"/>
      <c r="C707" s="70"/>
      <c r="D707" s="62"/>
      <c r="E707" s="68"/>
      <c r="F707" s="68"/>
    </row>
    <row r="708" spans="1:6" x14ac:dyDescent="0.3">
      <c r="A708" s="103"/>
      <c r="B708" s="105"/>
      <c r="C708" s="70"/>
      <c r="D708" s="62"/>
      <c r="E708" s="68"/>
      <c r="F708" s="68"/>
    </row>
    <row r="709" spans="1:6" x14ac:dyDescent="0.3">
      <c r="A709" s="103"/>
      <c r="B709" s="105"/>
      <c r="C709" s="70"/>
      <c r="D709" s="62"/>
      <c r="E709" s="68"/>
      <c r="F709" s="68"/>
    </row>
    <row r="710" spans="1:6" x14ac:dyDescent="0.3">
      <c r="A710" s="103"/>
      <c r="B710" s="105"/>
      <c r="C710" s="70"/>
      <c r="D710" s="62"/>
      <c r="E710" s="68"/>
      <c r="F710" s="68"/>
    </row>
    <row r="711" spans="1:6" x14ac:dyDescent="0.3">
      <c r="A711" s="103"/>
      <c r="B711" s="105"/>
      <c r="C711" s="70"/>
      <c r="D711" s="62"/>
      <c r="E711" s="68"/>
      <c r="F711" s="68"/>
    </row>
    <row r="712" spans="1:6" x14ac:dyDescent="0.3">
      <c r="A712" s="103"/>
      <c r="B712" s="105"/>
      <c r="C712" s="70"/>
      <c r="D712" s="62"/>
      <c r="E712" s="68"/>
      <c r="F712" s="68"/>
    </row>
    <row r="713" spans="1:6" x14ac:dyDescent="0.3">
      <c r="A713" s="103"/>
      <c r="B713" s="105"/>
      <c r="C713" s="70"/>
      <c r="D713" s="62"/>
      <c r="E713" s="68"/>
      <c r="F713" s="68"/>
    </row>
    <row r="714" spans="1:6" x14ac:dyDescent="0.3">
      <c r="A714" s="103"/>
      <c r="B714" s="105"/>
      <c r="C714" s="70"/>
      <c r="D714" s="62"/>
      <c r="E714" s="68"/>
      <c r="F714" s="68"/>
    </row>
    <row r="715" spans="1:6" x14ac:dyDescent="0.3">
      <c r="A715" s="103"/>
      <c r="B715" s="105"/>
      <c r="C715" s="70"/>
      <c r="D715" s="62"/>
      <c r="E715" s="68"/>
      <c r="F715" s="68"/>
    </row>
    <row r="716" spans="1:6" x14ac:dyDescent="0.3">
      <c r="A716" s="103"/>
      <c r="B716" s="105"/>
      <c r="C716" s="70"/>
      <c r="D716" s="62"/>
      <c r="E716" s="68"/>
      <c r="F716" s="68"/>
    </row>
    <row r="717" spans="1:6" x14ac:dyDescent="0.3">
      <c r="A717" s="103"/>
      <c r="B717" s="105"/>
      <c r="C717" s="70"/>
      <c r="D717" s="62"/>
      <c r="E717" s="68"/>
      <c r="F717" s="68"/>
    </row>
    <row r="718" spans="1:6" x14ac:dyDescent="0.3">
      <c r="A718" s="103"/>
      <c r="B718" s="105"/>
      <c r="C718" s="70"/>
      <c r="D718" s="62"/>
      <c r="E718" s="68"/>
      <c r="F718" s="68"/>
    </row>
    <row r="719" spans="1:6" x14ac:dyDescent="0.3">
      <c r="A719" s="103"/>
      <c r="B719" s="105"/>
      <c r="C719" s="70"/>
      <c r="D719" s="62"/>
      <c r="E719" s="68"/>
      <c r="F719" s="68"/>
    </row>
    <row r="720" spans="1:6" x14ac:dyDescent="0.3">
      <c r="A720" s="103"/>
      <c r="B720" s="105"/>
      <c r="C720" s="70"/>
      <c r="D720" s="62"/>
      <c r="E720" s="68"/>
      <c r="F720" s="68"/>
    </row>
    <row r="721" spans="1:6" x14ac:dyDescent="0.3">
      <c r="A721" s="103"/>
      <c r="B721" s="105"/>
      <c r="C721" s="70"/>
      <c r="D721" s="62"/>
      <c r="E721" s="68"/>
      <c r="F721" s="68"/>
    </row>
    <row r="722" spans="1:6" x14ac:dyDescent="0.3">
      <c r="A722" s="103"/>
      <c r="B722" s="105"/>
      <c r="C722" s="70"/>
      <c r="D722" s="62"/>
      <c r="E722" s="68"/>
      <c r="F722" s="68"/>
    </row>
    <row r="723" spans="1:6" x14ac:dyDescent="0.3">
      <c r="A723" s="103"/>
      <c r="B723" s="105"/>
      <c r="C723" s="70"/>
      <c r="D723" s="62"/>
      <c r="E723" s="68"/>
      <c r="F723" s="68"/>
    </row>
    <row r="724" spans="1:6" x14ac:dyDescent="0.3">
      <c r="A724" s="103"/>
      <c r="B724" s="105"/>
      <c r="C724" s="70"/>
      <c r="D724" s="62"/>
      <c r="E724" s="68"/>
      <c r="F724" s="68"/>
    </row>
    <row r="725" spans="1:6" x14ac:dyDescent="0.3">
      <c r="A725" s="103"/>
      <c r="B725" s="105"/>
      <c r="C725" s="70"/>
      <c r="D725" s="62"/>
      <c r="E725" s="68"/>
      <c r="F725" s="68"/>
    </row>
    <row r="726" spans="1:6" x14ac:dyDescent="0.3">
      <c r="A726" s="103"/>
      <c r="B726" s="105"/>
      <c r="C726" s="70"/>
      <c r="D726" s="62"/>
      <c r="E726" s="68"/>
      <c r="F726" s="68"/>
    </row>
    <row r="727" spans="1:6" x14ac:dyDescent="0.3">
      <c r="A727" s="103"/>
      <c r="B727" s="105"/>
      <c r="C727" s="70"/>
      <c r="D727" s="62"/>
      <c r="E727" s="68"/>
      <c r="F727" s="68"/>
    </row>
    <row r="728" spans="1:6" x14ac:dyDescent="0.3">
      <c r="A728" s="103"/>
      <c r="B728" s="105"/>
      <c r="C728" s="70"/>
      <c r="D728" s="62"/>
      <c r="E728" s="68"/>
      <c r="F728" s="68"/>
    </row>
    <row r="729" spans="1:6" x14ac:dyDescent="0.3">
      <c r="A729" s="103"/>
      <c r="B729" s="105"/>
      <c r="C729" s="70"/>
      <c r="D729" s="62"/>
      <c r="E729" s="68"/>
      <c r="F729" s="68"/>
    </row>
    <row r="730" spans="1:6" x14ac:dyDescent="0.3">
      <c r="A730" s="103"/>
      <c r="B730" s="105"/>
      <c r="C730" s="70"/>
      <c r="D730" s="62"/>
      <c r="E730" s="68"/>
      <c r="F730" s="68"/>
    </row>
    <row r="731" spans="1:6" x14ac:dyDescent="0.3">
      <c r="A731" s="103"/>
      <c r="B731" s="105"/>
      <c r="C731" s="70"/>
      <c r="D731" s="62"/>
      <c r="E731" s="68"/>
      <c r="F731" s="68"/>
    </row>
    <row r="732" spans="1:6" x14ac:dyDescent="0.3">
      <c r="A732" s="103"/>
      <c r="B732" s="105"/>
      <c r="C732" s="70"/>
      <c r="D732" s="62"/>
      <c r="E732" s="68"/>
      <c r="F732" s="68"/>
    </row>
    <row r="733" spans="1:6" x14ac:dyDescent="0.3">
      <c r="A733" s="103"/>
      <c r="B733" s="105"/>
      <c r="C733" s="70"/>
      <c r="D733" s="62"/>
      <c r="E733" s="68"/>
      <c r="F733" s="68"/>
    </row>
    <row r="734" spans="1:6" x14ac:dyDescent="0.3">
      <c r="A734" s="103"/>
      <c r="B734" s="105"/>
      <c r="C734" s="70"/>
      <c r="D734" s="62"/>
      <c r="E734" s="68"/>
      <c r="F734" s="68"/>
    </row>
    <row r="735" spans="1:6" x14ac:dyDescent="0.3">
      <c r="A735" s="103"/>
      <c r="B735" s="105"/>
      <c r="C735" s="70"/>
      <c r="D735" s="62"/>
      <c r="E735" s="68"/>
      <c r="F735" s="68"/>
    </row>
    <row r="736" spans="1:6" x14ac:dyDescent="0.3">
      <c r="A736" s="103"/>
      <c r="B736" s="105"/>
      <c r="C736" s="70"/>
      <c r="D736" s="62"/>
      <c r="E736" s="68"/>
      <c r="F736" s="68"/>
    </row>
    <row r="737" spans="1:6" x14ac:dyDescent="0.3">
      <c r="A737" s="103"/>
      <c r="B737" s="105"/>
      <c r="C737" s="70"/>
      <c r="D737" s="62"/>
      <c r="E737" s="68"/>
      <c r="F737" s="68"/>
    </row>
    <row r="738" spans="1:6" x14ac:dyDescent="0.3">
      <c r="A738" s="103"/>
      <c r="B738" s="105"/>
      <c r="C738" s="70"/>
      <c r="D738" s="62"/>
      <c r="E738" s="68"/>
      <c r="F738" s="68"/>
    </row>
    <row r="739" spans="1:6" x14ac:dyDescent="0.3">
      <c r="A739" s="103"/>
      <c r="B739" s="105"/>
      <c r="C739" s="70"/>
      <c r="D739" s="62"/>
      <c r="E739" s="68"/>
      <c r="F739" s="68"/>
    </row>
    <row r="740" spans="1:6" x14ac:dyDescent="0.3">
      <c r="A740" s="103"/>
      <c r="B740" s="105"/>
      <c r="C740" s="70"/>
      <c r="D740" s="62"/>
      <c r="E740" s="68"/>
      <c r="F740" s="68"/>
    </row>
    <row r="741" spans="1:6" x14ac:dyDescent="0.3">
      <c r="A741" s="103"/>
      <c r="B741" s="105"/>
      <c r="C741" s="70"/>
      <c r="D741" s="62"/>
      <c r="E741" s="68"/>
      <c r="F741" s="68"/>
    </row>
    <row r="742" spans="1:6" x14ac:dyDescent="0.3">
      <c r="A742" s="103"/>
      <c r="B742" s="105"/>
      <c r="C742" s="70"/>
      <c r="D742" s="62"/>
      <c r="E742" s="68"/>
      <c r="F742" s="68"/>
    </row>
    <row r="743" spans="1:6" x14ac:dyDescent="0.3">
      <c r="A743" s="103"/>
      <c r="B743" s="105"/>
      <c r="C743" s="70"/>
      <c r="D743" s="62"/>
      <c r="E743" s="68"/>
      <c r="F743" s="68"/>
    </row>
    <row r="744" spans="1:6" x14ac:dyDescent="0.3">
      <c r="A744" s="103"/>
      <c r="B744" s="105"/>
      <c r="C744" s="70"/>
      <c r="D744" s="62"/>
      <c r="E744" s="68"/>
      <c r="F744" s="68"/>
    </row>
    <row r="745" spans="1:6" x14ac:dyDescent="0.3">
      <c r="A745" s="103"/>
      <c r="B745" s="105"/>
      <c r="C745" s="70"/>
      <c r="D745" s="62"/>
      <c r="E745" s="68"/>
      <c r="F745" s="68"/>
    </row>
    <row r="746" spans="1:6" x14ac:dyDescent="0.3">
      <c r="A746" s="103"/>
      <c r="B746" s="105"/>
      <c r="C746" s="70"/>
      <c r="D746" s="62"/>
      <c r="E746" s="68"/>
      <c r="F746" s="68"/>
    </row>
    <row r="747" spans="1:6" x14ac:dyDescent="0.3">
      <c r="A747" s="103"/>
      <c r="B747" s="105"/>
      <c r="C747" s="70"/>
      <c r="D747" s="62"/>
      <c r="E747" s="68"/>
      <c r="F747" s="68"/>
    </row>
    <row r="748" spans="1:6" x14ac:dyDescent="0.3">
      <c r="A748" s="103"/>
      <c r="B748" s="105"/>
      <c r="C748" s="70"/>
      <c r="D748" s="62"/>
      <c r="E748" s="68"/>
      <c r="F748" s="68"/>
    </row>
    <row r="749" spans="1:6" x14ac:dyDescent="0.3">
      <c r="A749" s="103"/>
      <c r="B749" s="105"/>
      <c r="C749" s="70"/>
      <c r="D749" s="62"/>
      <c r="E749" s="68"/>
      <c r="F749" s="68"/>
    </row>
    <row r="750" spans="1:6" x14ac:dyDescent="0.3">
      <c r="A750" s="103"/>
      <c r="B750" s="105"/>
      <c r="C750" s="70"/>
      <c r="D750" s="62"/>
      <c r="E750" s="68"/>
      <c r="F750" s="68"/>
    </row>
    <row r="751" spans="1:6" x14ac:dyDescent="0.3">
      <c r="A751" s="103"/>
      <c r="B751" s="105"/>
      <c r="C751" s="70"/>
      <c r="D751" s="62"/>
      <c r="E751" s="68"/>
      <c r="F751" s="68"/>
    </row>
    <row r="752" spans="1:6" x14ac:dyDescent="0.3">
      <c r="A752" s="103"/>
      <c r="B752" s="105"/>
      <c r="C752" s="70"/>
      <c r="D752" s="62"/>
      <c r="E752" s="68"/>
      <c r="F752" s="68"/>
    </row>
    <row r="753" spans="1:6" x14ac:dyDescent="0.3">
      <c r="A753" s="103"/>
      <c r="B753" s="105"/>
      <c r="C753" s="70"/>
      <c r="D753" s="62"/>
      <c r="E753" s="68"/>
      <c r="F753" s="68"/>
    </row>
    <row r="754" spans="1:6" x14ac:dyDescent="0.3">
      <c r="A754" s="103"/>
      <c r="B754" s="105"/>
      <c r="C754" s="70"/>
      <c r="D754" s="62"/>
      <c r="E754" s="68"/>
      <c r="F754" s="68"/>
    </row>
    <row r="755" spans="1:6" x14ac:dyDescent="0.3">
      <c r="A755" s="103"/>
      <c r="B755" s="105"/>
      <c r="C755" s="70"/>
      <c r="D755" s="62"/>
      <c r="E755" s="68"/>
      <c r="F755" s="68"/>
    </row>
    <row r="756" spans="1:6" x14ac:dyDescent="0.3">
      <c r="A756" s="103"/>
      <c r="B756" s="105"/>
      <c r="C756" s="70"/>
      <c r="D756" s="62"/>
      <c r="E756" s="68"/>
      <c r="F756" s="68"/>
    </row>
    <row r="757" spans="1:6" x14ac:dyDescent="0.3">
      <c r="A757" s="103"/>
      <c r="B757" s="105"/>
      <c r="C757" s="70"/>
      <c r="D757" s="62"/>
      <c r="E757" s="68"/>
      <c r="F757" s="68"/>
    </row>
    <row r="758" spans="1:6" x14ac:dyDescent="0.3">
      <c r="A758" s="103"/>
      <c r="B758" s="105"/>
      <c r="C758" s="70"/>
      <c r="D758" s="62"/>
      <c r="E758" s="68"/>
      <c r="F758" s="68"/>
    </row>
    <row r="759" spans="1:6" x14ac:dyDescent="0.3">
      <c r="A759" s="103"/>
      <c r="B759" s="105"/>
      <c r="C759" s="70"/>
      <c r="D759" s="62"/>
      <c r="E759" s="68"/>
      <c r="F759" s="68"/>
    </row>
    <row r="760" spans="1:6" x14ac:dyDescent="0.3">
      <c r="A760" s="103"/>
      <c r="B760" s="105"/>
      <c r="C760" s="70"/>
      <c r="D760" s="62"/>
      <c r="E760" s="68"/>
      <c r="F760" s="68"/>
    </row>
    <row r="761" spans="1:6" x14ac:dyDescent="0.3">
      <c r="A761" s="103"/>
      <c r="B761" s="105"/>
      <c r="C761" s="70"/>
      <c r="D761" s="62"/>
      <c r="E761" s="68"/>
      <c r="F761" s="68"/>
    </row>
    <row r="762" spans="1:6" x14ac:dyDescent="0.3">
      <c r="A762" s="103"/>
      <c r="B762" s="105"/>
      <c r="C762" s="70"/>
      <c r="D762" s="62"/>
      <c r="E762" s="68"/>
      <c r="F762" s="68"/>
    </row>
    <row r="763" spans="1:6" x14ac:dyDescent="0.3">
      <c r="A763" s="103"/>
      <c r="B763" s="105"/>
      <c r="C763" s="70"/>
      <c r="D763" s="62"/>
      <c r="E763" s="68"/>
      <c r="F763" s="68"/>
    </row>
    <row r="764" spans="1:6" x14ac:dyDescent="0.3">
      <c r="A764" s="103"/>
      <c r="B764" s="105"/>
      <c r="C764" s="70"/>
      <c r="D764" s="62"/>
      <c r="E764" s="68"/>
      <c r="F764" s="68"/>
    </row>
    <row r="765" spans="1:6" x14ac:dyDescent="0.3">
      <c r="A765" s="103"/>
      <c r="B765" s="105"/>
      <c r="C765" s="70"/>
      <c r="D765" s="62"/>
      <c r="E765" s="68"/>
      <c r="F765" s="68"/>
    </row>
    <row r="766" spans="1:6" x14ac:dyDescent="0.3">
      <c r="A766" s="103"/>
      <c r="B766" s="105"/>
      <c r="C766" s="70"/>
      <c r="D766" s="62"/>
      <c r="E766" s="68"/>
      <c r="F766" s="68"/>
    </row>
    <row r="767" spans="1:6" x14ac:dyDescent="0.3">
      <c r="A767" s="103"/>
      <c r="B767" s="105"/>
      <c r="C767" s="70"/>
      <c r="D767" s="62"/>
      <c r="E767" s="68"/>
      <c r="F767" s="68"/>
    </row>
    <row r="768" spans="1:6" x14ac:dyDescent="0.3">
      <c r="A768" s="103"/>
      <c r="B768" s="105"/>
      <c r="C768" s="70"/>
      <c r="D768" s="62"/>
      <c r="E768" s="68"/>
      <c r="F768" s="68"/>
    </row>
    <row r="769" spans="1:6" x14ac:dyDescent="0.3">
      <c r="A769" s="103"/>
      <c r="B769" s="105"/>
      <c r="C769" s="70"/>
      <c r="D769" s="62"/>
      <c r="E769" s="68"/>
      <c r="F769" s="68"/>
    </row>
    <row r="770" spans="1:6" x14ac:dyDescent="0.3">
      <c r="A770" s="103"/>
      <c r="B770" s="105"/>
      <c r="C770" s="70"/>
      <c r="D770" s="62"/>
      <c r="E770" s="68"/>
      <c r="F770" s="68"/>
    </row>
    <row r="771" spans="1:6" x14ac:dyDescent="0.3">
      <c r="A771" s="103"/>
      <c r="B771" s="105"/>
      <c r="C771" s="70"/>
      <c r="D771" s="62"/>
      <c r="E771" s="68"/>
      <c r="F771" s="68"/>
    </row>
    <row r="772" spans="1:6" x14ac:dyDescent="0.3">
      <c r="A772" s="103"/>
      <c r="B772" s="105"/>
      <c r="C772" s="70"/>
      <c r="D772" s="62"/>
      <c r="E772" s="68"/>
      <c r="F772" s="68"/>
    </row>
    <row r="773" spans="1:6" x14ac:dyDescent="0.3">
      <c r="A773" s="103"/>
      <c r="B773" s="105"/>
      <c r="C773" s="70"/>
      <c r="D773" s="62"/>
      <c r="E773" s="68"/>
      <c r="F773" s="68"/>
    </row>
    <row r="774" spans="1:6" x14ac:dyDescent="0.3">
      <c r="A774" s="103"/>
      <c r="B774" s="105"/>
      <c r="C774" s="70"/>
      <c r="D774" s="62"/>
      <c r="E774" s="68"/>
      <c r="F774" s="68"/>
    </row>
    <row r="775" spans="1:6" x14ac:dyDescent="0.3">
      <c r="A775" s="103"/>
      <c r="B775" s="105"/>
      <c r="C775" s="70"/>
      <c r="D775" s="62"/>
      <c r="E775" s="68"/>
      <c r="F775" s="68"/>
    </row>
    <row r="776" spans="1:6" x14ac:dyDescent="0.3">
      <c r="A776" s="103"/>
      <c r="B776" s="105"/>
      <c r="C776" s="70"/>
      <c r="D776" s="62"/>
      <c r="E776" s="68"/>
      <c r="F776" s="68"/>
    </row>
    <row r="777" spans="1:6" x14ac:dyDescent="0.3">
      <c r="A777" s="103"/>
      <c r="B777" s="105"/>
      <c r="C777" s="70"/>
      <c r="D777" s="62"/>
      <c r="E777" s="68"/>
      <c r="F777" s="68"/>
    </row>
    <row r="778" spans="1:6" x14ac:dyDescent="0.3">
      <c r="A778" s="103"/>
      <c r="B778" s="105"/>
      <c r="C778" s="70"/>
      <c r="D778" s="62"/>
      <c r="E778" s="68"/>
      <c r="F778" s="68"/>
    </row>
    <row r="779" spans="1:6" x14ac:dyDescent="0.3">
      <c r="A779" s="103"/>
      <c r="B779" s="105"/>
      <c r="C779" s="70"/>
      <c r="D779" s="62"/>
      <c r="E779" s="68"/>
      <c r="F779" s="68"/>
    </row>
    <row r="780" spans="1:6" x14ac:dyDescent="0.3">
      <c r="A780" s="103"/>
      <c r="B780" s="105"/>
      <c r="C780" s="70"/>
      <c r="D780" s="62"/>
      <c r="E780" s="68"/>
      <c r="F780" s="68"/>
    </row>
    <row r="781" spans="1:6" x14ac:dyDescent="0.3">
      <c r="A781" s="103"/>
      <c r="B781" s="105"/>
      <c r="C781" s="70"/>
      <c r="D781" s="62"/>
      <c r="E781" s="68"/>
      <c r="F781" s="68"/>
    </row>
    <row r="782" spans="1:6" x14ac:dyDescent="0.3">
      <c r="A782" s="103"/>
      <c r="B782" s="105"/>
      <c r="C782" s="70"/>
      <c r="D782" s="62"/>
      <c r="E782" s="68"/>
      <c r="F782" s="68"/>
    </row>
    <row r="783" spans="1:6" x14ac:dyDescent="0.3">
      <c r="A783" s="103"/>
      <c r="B783" s="105"/>
      <c r="C783" s="70"/>
      <c r="D783" s="62"/>
      <c r="E783" s="68"/>
      <c r="F783" s="68"/>
    </row>
    <row r="784" spans="1:6" x14ac:dyDescent="0.3">
      <c r="A784" s="103"/>
      <c r="B784" s="105"/>
      <c r="C784" s="70"/>
      <c r="D784" s="62"/>
      <c r="E784" s="68"/>
      <c r="F784" s="68"/>
    </row>
    <row r="785" spans="1:6" x14ac:dyDescent="0.3">
      <c r="A785" s="103"/>
      <c r="B785" s="105"/>
      <c r="C785" s="70"/>
      <c r="D785" s="62"/>
      <c r="E785" s="68"/>
      <c r="F785" s="68"/>
    </row>
    <row r="786" spans="1:6" x14ac:dyDescent="0.3">
      <c r="A786" s="103"/>
      <c r="B786" s="105"/>
      <c r="C786" s="70"/>
      <c r="D786" s="62"/>
      <c r="E786" s="68"/>
      <c r="F786" s="68"/>
    </row>
    <row r="787" spans="1:6" x14ac:dyDescent="0.3">
      <c r="A787" s="103"/>
      <c r="B787" s="105"/>
      <c r="C787" s="70"/>
      <c r="D787" s="62"/>
      <c r="E787" s="68"/>
      <c r="F787" s="68"/>
    </row>
    <row r="788" spans="1:6" x14ac:dyDescent="0.3">
      <c r="A788" s="103"/>
      <c r="B788" s="105"/>
      <c r="C788" s="70"/>
      <c r="D788" s="62"/>
      <c r="E788" s="68"/>
      <c r="F788" s="68"/>
    </row>
    <row r="789" spans="1:6" x14ac:dyDescent="0.3">
      <c r="A789" s="103"/>
      <c r="B789" s="105"/>
      <c r="C789" s="70"/>
      <c r="D789" s="62"/>
      <c r="E789" s="68"/>
      <c r="F789" s="68"/>
    </row>
    <row r="790" spans="1:6" x14ac:dyDescent="0.3">
      <c r="A790" s="103"/>
      <c r="B790" s="105"/>
      <c r="C790" s="70"/>
      <c r="D790" s="62"/>
      <c r="E790" s="68"/>
      <c r="F790" s="68"/>
    </row>
    <row r="791" spans="1:6" x14ac:dyDescent="0.3">
      <c r="A791" s="103"/>
      <c r="B791" s="105"/>
      <c r="C791" s="70"/>
      <c r="D791" s="62"/>
      <c r="E791" s="68"/>
      <c r="F791" s="68"/>
    </row>
    <row r="792" spans="1:6" x14ac:dyDescent="0.3">
      <c r="A792" s="103"/>
      <c r="B792" s="105"/>
      <c r="C792" s="70"/>
      <c r="D792" s="62"/>
      <c r="E792" s="68"/>
      <c r="F792" s="68"/>
    </row>
    <row r="793" spans="1:6" x14ac:dyDescent="0.3">
      <c r="A793" s="103"/>
      <c r="B793" s="105"/>
      <c r="C793" s="70"/>
      <c r="D793" s="62"/>
      <c r="E793" s="68"/>
      <c r="F793" s="68"/>
    </row>
    <row r="794" spans="1:6" x14ac:dyDescent="0.3">
      <c r="A794" s="103"/>
      <c r="B794" s="105"/>
      <c r="C794" s="70"/>
      <c r="D794" s="62"/>
      <c r="E794" s="68"/>
      <c r="F794" s="68"/>
    </row>
    <row r="795" spans="1:6" x14ac:dyDescent="0.3">
      <c r="A795" s="103"/>
      <c r="B795" s="105"/>
      <c r="C795" s="70"/>
      <c r="D795" s="62"/>
      <c r="E795" s="68"/>
      <c r="F795" s="68"/>
    </row>
    <row r="796" spans="1:6" x14ac:dyDescent="0.3">
      <c r="A796" s="103"/>
      <c r="B796" s="105"/>
      <c r="C796" s="70"/>
      <c r="D796" s="62"/>
      <c r="E796" s="68"/>
      <c r="F796" s="68"/>
    </row>
    <row r="797" spans="1:6" x14ac:dyDescent="0.3">
      <c r="A797" s="103"/>
      <c r="B797" s="105"/>
      <c r="C797" s="70"/>
      <c r="D797" s="62"/>
      <c r="E797" s="68"/>
      <c r="F797" s="68"/>
    </row>
    <row r="798" spans="1:6" x14ac:dyDescent="0.3">
      <c r="A798" s="103"/>
      <c r="B798" s="105"/>
      <c r="C798" s="70"/>
      <c r="D798" s="62"/>
      <c r="E798" s="68"/>
      <c r="F798" s="68"/>
    </row>
    <row r="799" spans="1:6" x14ac:dyDescent="0.3">
      <c r="A799" s="103"/>
      <c r="B799" s="105"/>
      <c r="C799" s="70"/>
      <c r="D799" s="62"/>
      <c r="E799" s="68"/>
      <c r="F799" s="68"/>
    </row>
    <row r="800" spans="1:6" x14ac:dyDescent="0.3">
      <c r="A800" s="103"/>
      <c r="B800" s="105"/>
      <c r="C800" s="70"/>
      <c r="D800" s="62"/>
      <c r="E800" s="68"/>
      <c r="F800" s="68"/>
    </row>
    <row r="801" spans="1:6" x14ac:dyDescent="0.3">
      <c r="A801" s="103"/>
      <c r="B801" s="105"/>
      <c r="C801" s="70"/>
      <c r="D801" s="62"/>
      <c r="E801" s="68"/>
      <c r="F801" s="68"/>
    </row>
    <row r="802" spans="1:6" x14ac:dyDescent="0.3">
      <c r="A802" s="103"/>
      <c r="B802" s="105"/>
      <c r="C802" s="70"/>
      <c r="D802" s="62"/>
      <c r="E802" s="68"/>
      <c r="F802" s="68"/>
    </row>
    <row r="803" spans="1:6" x14ac:dyDescent="0.3">
      <c r="A803" s="103"/>
      <c r="B803" s="105"/>
      <c r="C803" s="70"/>
      <c r="D803" s="62"/>
      <c r="E803" s="68"/>
      <c r="F803" s="68"/>
    </row>
    <row r="804" spans="1:6" x14ac:dyDescent="0.3">
      <c r="A804" s="103"/>
      <c r="B804" s="105"/>
      <c r="C804" s="70"/>
      <c r="D804" s="62"/>
      <c r="E804" s="68"/>
      <c r="F804" s="68"/>
    </row>
    <row r="805" spans="1:6" x14ac:dyDescent="0.3">
      <c r="A805" s="103"/>
      <c r="B805" s="105"/>
      <c r="C805" s="70"/>
      <c r="D805" s="62"/>
      <c r="E805" s="68"/>
      <c r="F805" s="68"/>
    </row>
    <row r="806" spans="1:6" x14ac:dyDescent="0.3">
      <c r="A806" s="103"/>
      <c r="B806" s="105"/>
      <c r="C806" s="70"/>
      <c r="D806" s="62"/>
      <c r="E806" s="68"/>
      <c r="F806" s="68"/>
    </row>
    <row r="807" spans="1:6" x14ac:dyDescent="0.3">
      <c r="A807" s="103"/>
      <c r="B807" s="105"/>
      <c r="C807" s="70"/>
      <c r="D807" s="62"/>
      <c r="E807" s="68"/>
      <c r="F807" s="68"/>
    </row>
    <row r="808" spans="1:6" x14ac:dyDescent="0.3">
      <c r="A808" s="103"/>
      <c r="B808" s="105"/>
      <c r="C808" s="70"/>
      <c r="D808" s="62"/>
      <c r="E808" s="68"/>
      <c r="F808" s="68"/>
    </row>
    <row r="809" spans="1:6" x14ac:dyDescent="0.3">
      <c r="A809" s="103"/>
      <c r="B809" s="105"/>
      <c r="C809" s="70"/>
      <c r="D809" s="62"/>
      <c r="E809" s="68"/>
      <c r="F809" s="68"/>
    </row>
    <row r="810" spans="1:6" x14ac:dyDescent="0.3">
      <c r="A810" s="103"/>
      <c r="B810" s="105"/>
      <c r="C810" s="70"/>
      <c r="D810" s="62"/>
      <c r="E810" s="68"/>
      <c r="F810" s="68"/>
    </row>
    <row r="811" spans="1:6" x14ac:dyDescent="0.3">
      <c r="A811" s="103"/>
      <c r="B811" s="105"/>
      <c r="C811" s="70"/>
      <c r="D811" s="62"/>
      <c r="E811" s="68"/>
      <c r="F811" s="68"/>
    </row>
    <row r="812" spans="1:6" x14ac:dyDescent="0.3">
      <c r="A812" s="103"/>
      <c r="B812" s="105"/>
      <c r="C812" s="70"/>
      <c r="D812" s="62"/>
      <c r="E812" s="68"/>
      <c r="F812" s="68"/>
    </row>
    <row r="813" spans="1:6" x14ac:dyDescent="0.3">
      <c r="A813" s="103"/>
      <c r="B813" s="105"/>
      <c r="C813" s="70"/>
      <c r="D813" s="62"/>
      <c r="E813" s="68"/>
      <c r="F813" s="68"/>
    </row>
    <row r="814" spans="1:6" x14ac:dyDescent="0.3">
      <c r="A814" s="103"/>
      <c r="B814" s="105"/>
      <c r="C814" s="70"/>
      <c r="D814" s="62"/>
      <c r="E814" s="68"/>
      <c r="F814" s="68"/>
    </row>
    <row r="815" spans="1:6" x14ac:dyDescent="0.3">
      <c r="A815" s="103"/>
      <c r="B815" s="105"/>
      <c r="C815" s="70"/>
      <c r="D815" s="62"/>
      <c r="E815" s="68"/>
      <c r="F815" s="68"/>
    </row>
    <row r="816" spans="1:6" x14ac:dyDescent="0.3">
      <c r="A816" s="103"/>
      <c r="B816" s="105"/>
      <c r="C816" s="70"/>
      <c r="D816" s="62"/>
      <c r="E816" s="68"/>
      <c r="F816" s="68"/>
    </row>
    <row r="817" spans="1:6" x14ac:dyDescent="0.3">
      <c r="A817" s="103"/>
      <c r="B817" s="105"/>
      <c r="C817" s="70"/>
      <c r="D817" s="62"/>
      <c r="E817" s="68"/>
      <c r="F817" s="68"/>
    </row>
    <row r="818" spans="1:6" x14ac:dyDescent="0.3">
      <c r="A818" s="103"/>
      <c r="B818" s="105"/>
      <c r="C818" s="70"/>
      <c r="D818" s="62"/>
      <c r="E818" s="68"/>
      <c r="F818" s="68"/>
    </row>
    <row r="819" spans="1:6" x14ac:dyDescent="0.3">
      <c r="A819" s="103"/>
      <c r="B819" s="105"/>
      <c r="C819" s="70"/>
      <c r="D819" s="62"/>
      <c r="E819" s="68"/>
      <c r="F819" s="68"/>
    </row>
    <row r="820" spans="1:6" x14ac:dyDescent="0.3">
      <c r="A820" s="103"/>
      <c r="B820" s="105"/>
      <c r="C820" s="70"/>
      <c r="D820" s="62"/>
      <c r="E820" s="68"/>
      <c r="F820" s="68"/>
    </row>
    <row r="821" spans="1:6" x14ac:dyDescent="0.3">
      <c r="A821" s="103"/>
      <c r="B821" s="105"/>
      <c r="C821" s="70"/>
      <c r="D821" s="62"/>
      <c r="E821" s="68"/>
      <c r="F821" s="68"/>
    </row>
    <row r="822" spans="1:6" x14ac:dyDescent="0.3">
      <c r="A822" s="103"/>
      <c r="B822" s="105"/>
      <c r="C822" s="70"/>
      <c r="D822" s="62"/>
      <c r="E822" s="68"/>
      <c r="F822" s="68"/>
    </row>
    <row r="823" spans="1:6" x14ac:dyDescent="0.3">
      <c r="A823" s="103"/>
      <c r="B823" s="105"/>
      <c r="C823" s="70"/>
      <c r="D823" s="62"/>
      <c r="E823" s="68"/>
      <c r="F823" s="68"/>
    </row>
    <row r="824" spans="1:6" x14ac:dyDescent="0.3">
      <c r="A824" s="103"/>
      <c r="B824" s="105"/>
      <c r="C824" s="70"/>
      <c r="D824" s="62"/>
      <c r="E824" s="68"/>
      <c r="F824" s="68"/>
    </row>
    <row r="825" spans="1:6" x14ac:dyDescent="0.3">
      <c r="A825" s="103"/>
      <c r="B825" s="105"/>
      <c r="C825" s="70"/>
      <c r="D825" s="62"/>
      <c r="E825" s="68"/>
      <c r="F825" s="68"/>
    </row>
    <row r="826" spans="1:6" x14ac:dyDescent="0.3">
      <c r="A826" s="103"/>
      <c r="B826" s="105"/>
      <c r="C826" s="70"/>
      <c r="D826" s="62"/>
      <c r="E826" s="68"/>
      <c r="F826" s="68"/>
    </row>
    <row r="827" spans="1:6" x14ac:dyDescent="0.3">
      <c r="A827" s="103"/>
      <c r="B827" s="105"/>
      <c r="C827" s="70"/>
      <c r="D827" s="62"/>
      <c r="E827" s="68"/>
      <c r="F827" s="68"/>
    </row>
    <row r="828" spans="1:6" x14ac:dyDescent="0.3">
      <c r="A828" s="103"/>
      <c r="B828" s="105"/>
      <c r="C828" s="70"/>
      <c r="D828" s="62"/>
      <c r="E828" s="68"/>
      <c r="F828" s="68"/>
    </row>
    <row r="829" spans="1:6" x14ac:dyDescent="0.3">
      <c r="A829" s="103"/>
      <c r="B829" s="105"/>
      <c r="C829" s="70"/>
      <c r="D829" s="62"/>
      <c r="E829" s="68"/>
      <c r="F829" s="68"/>
    </row>
    <row r="830" spans="1:6" x14ac:dyDescent="0.3">
      <c r="A830" s="103"/>
      <c r="B830" s="105"/>
      <c r="C830" s="70"/>
      <c r="D830" s="62"/>
      <c r="E830" s="68"/>
      <c r="F830" s="68"/>
    </row>
    <row r="831" spans="1:6" x14ac:dyDescent="0.3">
      <c r="A831" s="103"/>
      <c r="B831" s="105"/>
      <c r="C831" s="70"/>
      <c r="D831" s="62"/>
      <c r="E831" s="68"/>
      <c r="F831" s="68"/>
    </row>
    <row r="832" spans="1:6" x14ac:dyDescent="0.3">
      <c r="A832" s="103"/>
      <c r="B832" s="105"/>
      <c r="C832" s="70"/>
      <c r="D832" s="62"/>
      <c r="E832" s="68"/>
      <c r="F832" s="68"/>
    </row>
    <row r="833" spans="1:6" x14ac:dyDescent="0.3">
      <c r="A833" s="103"/>
      <c r="B833" s="105"/>
      <c r="C833" s="70"/>
      <c r="D833" s="62"/>
      <c r="E833" s="68"/>
      <c r="F833" s="68"/>
    </row>
    <row r="834" spans="1:6" x14ac:dyDescent="0.3">
      <c r="A834" s="103"/>
      <c r="B834" s="105"/>
      <c r="C834" s="70"/>
      <c r="D834" s="62"/>
      <c r="E834" s="68"/>
      <c r="F834" s="68"/>
    </row>
    <row r="835" spans="1:6" x14ac:dyDescent="0.3">
      <c r="A835" s="103"/>
      <c r="B835" s="105"/>
      <c r="C835" s="70"/>
      <c r="D835" s="62"/>
      <c r="E835" s="68"/>
      <c r="F835" s="68"/>
    </row>
    <row r="836" spans="1:6" x14ac:dyDescent="0.3">
      <c r="A836" s="103"/>
      <c r="B836" s="105"/>
      <c r="C836" s="70"/>
      <c r="D836" s="62"/>
      <c r="E836" s="68"/>
      <c r="F836" s="68"/>
    </row>
    <row r="837" spans="1:6" x14ac:dyDescent="0.3">
      <c r="A837" s="103"/>
      <c r="B837" s="105"/>
      <c r="C837" s="70"/>
      <c r="D837" s="62"/>
      <c r="E837" s="68"/>
      <c r="F837" s="68"/>
    </row>
    <row r="838" spans="1:6" x14ac:dyDescent="0.3">
      <c r="A838" s="103"/>
      <c r="B838" s="105"/>
      <c r="C838" s="70"/>
      <c r="D838" s="62"/>
      <c r="E838" s="68"/>
      <c r="F838" s="68"/>
    </row>
    <row r="839" spans="1:6" x14ac:dyDescent="0.3">
      <c r="A839" s="103"/>
      <c r="B839" s="105"/>
      <c r="C839" s="70"/>
      <c r="D839" s="62"/>
      <c r="E839" s="68"/>
      <c r="F839" s="68"/>
    </row>
    <row r="840" spans="1:6" x14ac:dyDescent="0.3">
      <c r="A840" s="103"/>
      <c r="B840" s="105"/>
      <c r="C840" s="70"/>
      <c r="D840" s="62"/>
      <c r="E840" s="68"/>
      <c r="F840" s="68"/>
    </row>
    <row r="841" spans="1:6" x14ac:dyDescent="0.3">
      <c r="A841" s="103"/>
      <c r="B841" s="105"/>
      <c r="C841" s="70"/>
      <c r="D841" s="62"/>
      <c r="E841" s="68"/>
      <c r="F841" s="68"/>
    </row>
    <row r="842" spans="1:6" x14ac:dyDescent="0.3">
      <c r="A842" s="103"/>
      <c r="B842" s="105"/>
      <c r="C842" s="70"/>
      <c r="D842" s="62"/>
      <c r="E842" s="68"/>
      <c r="F842" s="68"/>
    </row>
    <row r="843" spans="1:6" x14ac:dyDescent="0.3">
      <c r="A843" s="103"/>
      <c r="B843" s="105"/>
      <c r="C843" s="70"/>
      <c r="D843" s="62"/>
      <c r="E843" s="68"/>
      <c r="F843" s="68"/>
    </row>
    <row r="844" spans="1:6" x14ac:dyDescent="0.3">
      <c r="A844" s="103"/>
      <c r="B844" s="105"/>
      <c r="C844" s="70"/>
      <c r="D844" s="62"/>
      <c r="E844" s="68"/>
      <c r="F844" s="68"/>
    </row>
    <row r="845" spans="1:6" x14ac:dyDescent="0.3">
      <c r="A845" s="103"/>
      <c r="B845" s="105"/>
      <c r="C845" s="70"/>
      <c r="D845" s="62"/>
      <c r="E845" s="68"/>
      <c r="F845" s="68"/>
    </row>
    <row r="846" spans="1:6" x14ac:dyDescent="0.3">
      <c r="A846" s="103"/>
      <c r="B846" s="105"/>
      <c r="C846" s="70"/>
      <c r="D846" s="62"/>
      <c r="E846" s="68"/>
      <c r="F846" s="68"/>
    </row>
    <row r="847" spans="1:6" x14ac:dyDescent="0.3">
      <c r="A847" s="103"/>
      <c r="B847" s="105"/>
      <c r="C847" s="70"/>
      <c r="D847" s="62"/>
      <c r="E847" s="68"/>
      <c r="F847" s="68"/>
    </row>
    <row r="848" spans="1:6" x14ac:dyDescent="0.3">
      <c r="A848" s="103"/>
      <c r="B848" s="105"/>
      <c r="C848" s="70"/>
      <c r="D848" s="62"/>
      <c r="E848" s="68"/>
      <c r="F848" s="68"/>
    </row>
    <row r="849" spans="1:6" x14ac:dyDescent="0.3">
      <c r="A849" s="103"/>
      <c r="B849" s="105"/>
      <c r="C849" s="70"/>
      <c r="D849" s="62"/>
      <c r="E849" s="68"/>
      <c r="F849" s="68"/>
    </row>
    <row r="850" spans="1:6" x14ac:dyDescent="0.3">
      <c r="A850" s="103"/>
      <c r="B850" s="105"/>
      <c r="C850" s="70"/>
      <c r="D850" s="62"/>
      <c r="E850" s="68"/>
      <c r="F850" s="68"/>
    </row>
    <row r="851" spans="1:6" x14ac:dyDescent="0.3">
      <c r="A851" s="103"/>
      <c r="B851" s="105"/>
      <c r="C851" s="70"/>
      <c r="D851" s="62"/>
      <c r="E851" s="68"/>
      <c r="F851" s="68"/>
    </row>
    <row r="852" spans="1:6" x14ac:dyDescent="0.3">
      <c r="A852" s="103"/>
      <c r="B852" s="105"/>
      <c r="C852" s="70"/>
      <c r="D852" s="62"/>
      <c r="E852" s="68"/>
      <c r="F852" s="68"/>
    </row>
    <row r="853" spans="1:6" x14ac:dyDescent="0.3">
      <c r="A853" s="103"/>
      <c r="B853" s="105"/>
      <c r="C853" s="70"/>
      <c r="D853" s="62"/>
      <c r="E853" s="68"/>
      <c r="F853" s="68"/>
    </row>
    <row r="854" spans="1:6" x14ac:dyDescent="0.3">
      <c r="A854" s="103"/>
      <c r="B854" s="105"/>
      <c r="C854" s="70"/>
      <c r="D854" s="62"/>
      <c r="E854" s="68"/>
      <c r="F854" s="68"/>
    </row>
    <row r="855" spans="1:6" x14ac:dyDescent="0.3">
      <c r="A855" s="103"/>
      <c r="B855" s="105"/>
      <c r="C855" s="70"/>
      <c r="D855" s="62"/>
      <c r="E855" s="68"/>
      <c r="F855" s="68"/>
    </row>
    <row r="856" spans="1:6" x14ac:dyDescent="0.3">
      <c r="A856" s="103"/>
      <c r="B856" s="105"/>
      <c r="C856" s="70"/>
      <c r="D856" s="62"/>
      <c r="E856" s="68"/>
      <c r="F856" s="68"/>
    </row>
    <row r="857" spans="1:6" x14ac:dyDescent="0.3">
      <c r="A857" s="103"/>
      <c r="B857" s="105"/>
      <c r="C857" s="70"/>
      <c r="D857" s="62"/>
      <c r="E857" s="68"/>
      <c r="F857" s="68"/>
    </row>
    <row r="858" spans="1:6" x14ac:dyDescent="0.3">
      <c r="A858" s="103"/>
      <c r="B858" s="105"/>
      <c r="C858" s="70"/>
      <c r="D858" s="62"/>
      <c r="E858" s="68"/>
      <c r="F858" s="68"/>
    </row>
    <row r="859" spans="1:6" x14ac:dyDescent="0.3">
      <c r="A859" s="103"/>
      <c r="B859" s="105"/>
      <c r="C859" s="70"/>
      <c r="D859" s="62"/>
      <c r="E859" s="68"/>
      <c r="F859" s="68"/>
    </row>
    <row r="860" spans="1:6" x14ac:dyDescent="0.3">
      <c r="A860" s="103"/>
      <c r="B860" s="105"/>
      <c r="C860" s="70"/>
      <c r="D860" s="62"/>
      <c r="E860" s="68"/>
      <c r="F860" s="68"/>
    </row>
    <row r="861" spans="1:6" x14ac:dyDescent="0.3">
      <c r="A861" s="103"/>
      <c r="B861" s="105"/>
      <c r="C861" s="70"/>
      <c r="D861" s="62"/>
      <c r="E861" s="68"/>
      <c r="F861" s="68"/>
    </row>
    <row r="862" spans="1:6" x14ac:dyDescent="0.3">
      <c r="A862" s="103"/>
      <c r="B862" s="105"/>
      <c r="C862" s="70"/>
      <c r="D862" s="62"/>
      <c r="E862" s="68"/>
      <c r="F862" s="68"/>
    </row>
    <row r="863" spans="1:6" x14ac:dyDescent="0.3">
      <c r="A863" s="103"/>
      <c r="B863" s="105"/>
      <c r="C863" s="70"/>
      <c r="D863" s="62"/>
      <c r="E863" s="68"/>
      <c r="F863" s="68"/>
    </row>
    <row r="864" spans="1:6" x14ac:dyDescent="0.3">
      <c r="A864" s="103"/>
      <c r="B864" s="105"/>
      <c r="C864" s="70"/>
      <c r="D864" s="62"/>
      <c r="E864" s="68"/>
      <c r="F864" s="68"/>
    </row>
    <row r="865" spans="1:6" x14ac:dyDescent="0.3">
      <c r="A865" s="103"/>
      <c r="B865" s="105"/>
      <c r="C865" s="70"/>
      <c r="D865" s="62"/>
      <c r="E865" s="68"/>
      <c r="F865" s="68"/>
    </row>
    <row r="866" spans="1:6" x14ac:dyDescent="0.3">
      <c r="A866" s="103"/>
      <c r="B866" s="105"/>
      <c r="C866" s="70"/>
      <c r="D866" s="62"/>
      <c r="E866" s="68"/>
      <c r="F866" s="68"/>
    </row>
    <row r="867" spans="1:6" x14ac:dyDescent="0.3">
      <c r="A867" s="103"/>
      <c r="B867" s="105"/>
      <c r="C867" s="70"/>
      <c r="D867" s="62"/>
      <c r="E867" s="68"/>
      <c r="F867" s="68"/>
    </row>
    <row r="868" spans="1:6" x14ac:dyDescent="0.3">
      <c r="A868" s="103"/>
      <c r="B868" s="105"/>
      <c r="C868" s="70"/>
      <c r="D868" s="62"/>
      <c r="E868" s="68"/>
      <c r="F868" s="68"/>
    </row>
    <row r="869" spans="1:6" x14ac:dyDescent="0.3">
      <c r="A869" s="103"/>
      <c r="B869" s="105"/>
      <c r="C869" s="70"/>
      <c r="D869" s="62"/>
      <c r="E869" s="68"/>
      <c r="F869" s="68"/>
    </row>
    <row r="870" spans="1:6" x14ac:dyDescent="0.3">
      <c r="A870" s="103"/>
      <c r="B870" s="105"/>
      <c r="C870" s="70"/>
      <c r="D870" s="62"/>
      <c r="E870" s="68"/>
      <c r="F870" s="68"/>
    </row>
    <row r="871" spans="1:6" x14ac:dyDescent="0.3">
      <c r="A871" s="103"/>
      <c r="B871" s="105"/>
      <c r="C871" s="70"/>
      <c r="D871" s="62"/>
      <c r="E871" s="68"/>
      <c r="F871" s="68"/>
    </row>
    <row r="872" spans="1:6" x14ac:dyDescent="0.3">
      <c r="A872" s="103"/>
      <c r="B872" s="105"/>
      <c r="C872" s="70"/>
      <c r="D872" s="62"/>
      <c r="E872" s="68"/>
      <c r="F872" s="68"/>
    </row>
    <row r="873" spans="1:6" x14ac:dyDescent="0.3">
      <c r="A873" s="103"/>
      <c r="B873" s="105"/>
      <c r="C873" s="70"/>
      <c r="D873" s="62"/>
      <c r="E873" s="68"/>
      <c r="F873" s="68"/>
    </row>
    <row r="874" spans="1:6" x14ac:dyDescent="0.3">
      <c r="A874" s="103"/>
      <c r="B874" s="105"/>
      <c r="C874" s="70"/>
      <c r="D874" s="62"/>
      <c r="E874" s="68"/>
      <c r="F874" s="68"/>
    </row>
    <row r="875" spans="1:6" x14ac:dyDescent="0.3">
      <c r="A875" s="103"/>
      <c r="B875" s="105"/>
      <c r="C875" s="70"/>
      <c r="D875" s="62"/>
      <c r="E875" s="68"/>
      <c r="F875" s="68"/>
    </row>
    <row r="876" spans="1:6" x14ac:dyDescent="0.3">
      <c r="A876" s="103"/>
      <c r="B876" s="105"/>
      <c r="C876" s="70"/>
      <c r="D876" s="62"/>
      <c r="E876" s="68"/>
      <c r="F876" s="68"/>
    </row>
    <row r="877" spans="1:6" x14ac:dyDescent="0.3">
      <c r="A877" s="103"/>
      <c r="B877" s="105"/>
      <c r="C877" s="70"/>
      <c r="D877" s="62"/>
      <c r="E877" s="68"/>
      <c r="F877" s="68"/>
    </row>
    <row r="878" spans="1:6" x14ac:dyDescent="0.3">
      <c r="A878" s="103"/>
      <c r="B878" s="105"/>
      <c r="C878" s="70"/>
      <c r="D878" s="62"/>
      <c r="E878" s="68"/>
      <c r="F878" s="68"/>
    </row>
    <row r="879" spans="1:6" x14ac:dyDescent="0.3">
      <c r="A879" s="103"/>
      <c r="B879" s="105"/>
      <c r="C879" s="70"/>
      <c r="D879" s="62"/>
      <c r="E879" s="68"/>
      <c r="F879" s="68"/>
    </row>
    <row r="880" spans="1:6" x14ac:dyDescent="0.3">
      <c r="A880" s="103"/>
      <c r="B880" s="105"/>
      <c r="C880" s="70"/>
      <c r="D880" s="62"/>
      <c r="E880" s="68"/>
      <c r="F880" s="68"/>
    </row>
    <row r="881" spans="1:6" x14ac:dyDescent="0.3">
      <c r="A881" s="103"/>
      <c r="B881" s="105"/>
      <c r="C881" s="70"/>
      <c r="D881" s="62"/>
      <c r="E881" s="68"/>
      <c r="F881" s="68"/>
    </row>
    <row r="882" spans="1:6" x14ac:dyDescent="0.3">
      <c r="A882" s="103"/>
      <c r="B882" s="105"/>
      <c r="C882" s="70"/>
      <c r="D882" s="62"/>
      <c r="E882" s="68"/>
      <c r="F882" s="68"/>
    </row>
    <row r="883" spans="1:6" x14ac:dyDescent="0.3">
      <c r="A883" s="103"/>
      <c r="B883" s="105"/>
      <c r="C883" s="70"/>
      <c r="D883" s="62"/>
      <c r="E883" s="68"/>
      <c r="F883" s="68"/>
    </row>
    <row r="884" spans="1:6" x14ac:dyDescent="0.3">
      <c r="A884" s="103"/>
      <c r="B884" s="105"/>
      <c r="C884" s="70"/>
      <c r="D884" s="62"/>
      <c r="E884" s="68"/>
      <c r="F884" s="68"/>
    </row>
    <row r="885" spans="1:6" x14ac:dyDescent="0.3">
      <c r="A885" s="103"/>
      <c r="B885" s="105"/>
      <c r="C885" s="70"/>
      <c r="D885" s="62"/>
      <c r="E885" s="68"/>
      <c r="F885" s="68"/>
    </row>
    <row r="886" spans="1:6" x14ac:dyDescent="0.3">
      <c r="A886" s="103"/>
      <c r="B886" s="105"/>
      <c r="C886" s="70"/>
      <c r="D886" s="62"/>
      <c r="E886" s="68"/>
      <c r="F886" s="68"/>
    </row>
    <row r="887" spans="1:6" x14ac:dyDescent="0.3">
      <c r="A887" s="103"/>
      <c r="B887" s="105"/>
      <c r="C887" s="70"/>
      <c r="D887" s="62"/>
      <c r="E887" s="68"/>
      <c r="F887" s="68"/>
    </row>
    <row r="888" spans="1:6" x14ac:dyDescent="0.3">
      <c r="A888" s="103"/>
      <c r="B888" s="105"/>
      <c r="C888" s="70"/>
      <c r="D888" s="62"/>
      <c r="E888" s="68"/>
      <c r="F888" s="68"/>
    </row>
    <row r="889" spans="1:6" x14ac:dyDescent="0.3">
      <c r="A889" s="103"/>
      <c r="B889" s="105"/>
      <c r="C889" s="70"/>
      <c r="D889" s="62"/>
      <c r="E889" s="68"/>
      <c r="F889" s="68"/>
    </row>
    <row r="890" spans="1:6" x14ac:dyDescent="0.3">
      <c r="A890" s="103"/>
      <c r="B890" s="105"/>
      <c r="C890" s="70"/>
      <c r="D890" s="62"/>
      <c r="E890" s="68"/>
      <c r="F890" s="68"/>
    </row>
    <row r="891" spans="1:6" x14ac:dyDescent="0.3">
      <c r="A891" s="103"/>
      <c r="B891" s="105"/>
      <c r="C891" s="70"/>
      <c r="D891" s="62"/>
      <c r="E891" s="68"/>
      <c r="F891" s="68"/>
    </row>
    <row r="892" spans="1:6" x14ac:dyDescent="0.3">
      <c r="A892" s="103"/>
      <c r="B892" s="105"/>
      <c r="C892" s="70"/>
      <c r="D892" s="62"/>
      <c r="E892" s="68"/>
      <c r="F892" s="68"/>
    </row>
    <row r="893" spans="1:6" x14ac:dyDescent="0.3">
      <c r="A893" s="103"/>
      <c r="B893" s="105"/>
      <c r="C893" s="70"/>
      <c r="D893" s="62"/>
      <c r="E893" s="68"/>
      <c r="F893" s="68"/>
    </row>
    <row r="894" spans="1:6" x14ac:dyDescent="0.3">
      <c r="A894" s="103"/>
      <c r="B894" s="105"/>
      <c r="C894" s="70"/>
      <c r="D894" s="62"/>
      <c r="E894" s="68"/>
      <c r="F894" s="68"/>
    </row>
    <row r="895" spans="1:6" x14ac:dyDescent="0.3">
      <c r="A895" s="103"/>
      <c r="B895" s="105"/>
      <c r="C895" s="70"/>
      <c r="D895" s="62"/>
      <c r="E895" s="68"/>
      <c r="F895" s="68"/>
    </row>
    <row r="896" spans="1:6" x14ac:dyDescent="0.3">
      <c r="A896" s="103"/>
      <c r="B896" s="105"/>
      <c r="C896" s="70"/>
      <c r="D896" s="62"/>
      <c r="E896" s="68"/>
      <c r="F896" s="68"/>
    </row>
    <row r="897" spans="1:6" x14ac:dyDescent="0.3">
      <c r="A897" s="103"/>
      <c r="B897" s="105"/>
      <c r="C897" s="70"/>
      <c r="D897" s="62"/>
      <c r="E897" s="68"/>
      <c r="F897" s="68"/>
    </row>
    <row r="898" spans="1:6" x14ac:dyDescent="0.3">
      <c r="A898" s="103"/>
      <c r="B898" s="105"/>
      <c r="C898" s="70"/>
      <c r="D898" s="62"/>
      <c r="E898" s="68"/>
      <c r="F898" s="68"/>
    </row>
    <row r="899" spans="1:6" x14ac:dyDescent="0.3">
      <c r="A899" s="103"/>
      <c r="B899" s="105"/>
      <c r="C899" s="70"/>
      <c r="D899" s="62"/>
      <c r="E899" s="68"/>
      <c r="F899" s="68"/>
    </row>
    <row r="900" spans="1:6" x14ac:dyDescent="0.3">
      <c r="A900" s="103"/>
      <c r="B900" s="105"/>
      <c r="C900" s="70"/>
      <c r="D900" s="62"/>
      <c r="E900" s="68"/>
      <c r="F900" s="68"/>
    </row>
    <row r="901" spans="1:6" x14ac:dyDescent="0.3">
      <c r="A901" s="103"/>
      <c r="B901" s="105"/>
      <c r="C901" s="70"/>
      <c r="D901" s="62"/>
      <c r="E901" s="68"/>
      <c r="F901" s="68"/>
    </row>
    <row r="902" spans="1:6" x14ac:dyDescent="0.3">
      <c r="A902" s="103"/>
      <c r="B902" s="105"/>
      <c r="C902" s="70"/>
      <c r="D902" s="62"/>
      <c r="E902" s="68"/>
      <c r="F902" s="68"/>
    </row>
    <row r="903" spans="1:6" x14ac:dyDescent="0.3">
      <c r="A903" s="103"/>
      <c r="B903" s="105"/>
      <c r="C903" s="70"/>
      <c r="D903" s="62"/>
      <c r="E903" s="68"/>
      <c r="F903" s="68"/>
    </row>
    <row r="904" spans="1:6" x14ac:dyDescent="0.3">
      <c r="A904" s="103"/>
      <c r="B904" s="105"/>
      <c r="C904" s="70"/>
      <c r="D904" s="62"/>
      <c r="E904" s="68"/>
      <c r="F904" s="68"/>
    </row>
    <row r="905" spans="1:6" x14ac:dyDescent="0.3">
      <c r="A905" s="103"/>
      <c r="B905" s="105"/>
      <c r="C905" s="70"/>
      <c r="D905" s="62"/>
      <c r="E905" s="68"/>
      <c r="F905" s="68"/>
    </row>
    <row r="906" spans="1:6" x14ac:dyDescent="0.3">
      <c r="A906" s="103"/>
      <c r="B906" s="105"/>
      <c r="C906" s="70"/>
      <c r="D906" s="62"/>
      <c r="E906" s="68"/>
      <c r="F906" s="68"/>
    </row>
    <row r="907" spans="1:6" x14ac:dyDescent="0.3">
      <c r="A907" s="103"/>
      <c r="B907" s="105"/>
      <c r="C907" s="70"/>
      <c r="D907" s="62"/>
      <c r="E907" s="68"/>
      <c r="F907" s="68"/>
    </row>
    <row r="908" spans="1:6" x14ac:dyDescent="0.3">
      <c r="A908" s="103"/>
      <c r="B908" s="105"/>
      <c r="C908" s="70"/>
      <c r="D908" s="62"/>
      <c r="E908" s="68"/>
      <c r="F908" s="68"/>
    </row>
    <row r="909" spans="1:6" x14ac:dyDescent="0.3">
      <c r="A909" s="103"/>
      <c r="B909" s="105"/>
      <c r="C909" s="70"/>
      <c r="D909" s="62"/>
      <c r="E909" s="68"/>
      <c r="F909" s="68"/>
    </row>
    <row r="910" spans="1:6" x14ac:dyDescent="0.3">
      <c r="A910" s="103"/>
      <c r="B910" s="105"/>
      <c r="C910" s="70"/>
      <c r="D910" s="62"/>
      <c r="E910" s="68"/>
      <c r="F910" s="68"/>
    </row>
    <row r="911" spans="1:6" x14ac:dyDescent="0.3">
      <c r="A911" s="103"/>
      <c r="B911" s="105"/>
      <c r="C911" s="70"/>
      <c r="D911" s="62"/>
      <c r="E911" s="68"/>
      <c r="F911" s="68"/>
    </row>
    <row r="912" spans="1:6" x14ac:dyDescent="0.3">
      <c r="A912" s="103"/>
      <c r="B912" s="105"/>
      <c r="C912" s="70"/>
      <c r="D912" s="62"/>
      <c r="E912" s="68"/>
      <c r="F912" s="68"/>
    </row>
    <row r="913" spans="1:6" x14ac:dyDescent="0.3">
      <c r="A913" s="103"/>
      <c r="B913" s="105"/>
      <c r="C913" s="70"/>
      <c r="D913" s="62"/>
      <c r="E913" s="68"/>
      <c r="F913" s="68"/>
    </row>
    <row r="914" spans="1:6" x14ac:dyDescent="0.3">
      <c r="A914" s="103"/>
      <c r="B914" s="105"/>
      <c r="C914" s="70"/>
      <c r="D914" s="62"/>
      <c r="E914" s="68"/>
      <c r="F914" s="68"/>
    </row>
    <row r="915" spans="1:6" x14ac:dyDescent="0.3">
      <c r="A915" s="103"/>
      <c r="B915" s="105"/>
      <c r="C915" s="70"/>
      <c r="D915" s="62"/>
      <c r="E915" s="68"/>
      <c r="F915" s="68"/>
    </row>
    <row r="916" spans="1:6" x14ac:dyDescent="0.3">
      <c r="A916" s="103"/>
      <c r="B916" s="105"/>
      <c r="C916" s="70"/>
      <c r="D916" s="62"/>
      <c r="E916" s="68"/>
      <c r="F916" s="68"/>
    </row>
    <row r="917" spans="1:6" x14ac:dyDescent="0.3">
      <c r="A917" s="103"/>
      <c r="B917" s="105"/>
      <c r="C917" s="70"/>
      <c r="D917" s="62"/>
      <c r="E917" s="68"/>
      <c r="F917" s="68"/>
    </row>
    <row r="918" spans="1:6" x14ac:dyDescent="0.3">
      <c r="A918" s="103"/>
      <c r="B918" s="105"/>
      <c r="C918" s="70"/>
      <c r="D918" s="62"/>
      <c r="E918" s="68"/>
      <c r="F918" s="68"/>
    </row>
    <row r="919" spans="1:6" x14ac:dyDescent="0.3">
      <c r="A919" s="103"/>
      <c r="B919" s="105"/>
      <c r="C919" s="70"/>
      <c r="D919" s="62"/>
      <c r="E919" s="68"/>
      <c r="F919" s="68"/>
    </row>
    <row r="920" spans="1:6" x14ac:dyDescent="0.3">
      <c r="A920" s="103"/>
      <c r="B920" s="105"/>
      <c r="C920" s="70"/>
      <c r="D920" s="62"/>
      <c r="E920" s="68"/>
      <c r="F920" s="68"/>
    </row>
    <row r="921" spans="1:6" x14ac:dyDescent="0.3">
      <c r="A921" s="103"/>
      <c r="B921" s="105"/>
      <c r="C921" s="70"/>
      <c r="D921" s="62"/>
      <c r="E921" s="68"/>
      <c r="F921" s="68"/>
    </row>
    <row r="922" spans="1:6" x14ac:dyDescent="0.3">
      <c r="A922" s="103"/>
      <c r="B922" s="105"/>
      <c r="C922" s="70"/>
      <c r="D922" s="62"/>
      <c r="E922" s="68"/>
      <c r="F922" s="68"/>
    </row>
    <row r="923" spans="1:6" x14ac:dyDescent="0.3">
      <c r="A923" s="103"/>
      <c r="B923" s="105"/>
      <c r="C923" s="70"/>
      <c r="D923" s="62"/>
      <c r="E923" s="68"/>
      <c r="F923" s="68"/>
    </row>
    <row r="924" spans="1:6" x14ac:dyDescent="0.3">
      <c r="A924" s="103"/>
      <c r="B924" s="105"/>
      <c r="C924" s="70"/>
      <c r="D924" s="62"/>
      <c r="E924" s="68"/>
      <c r="F924" s="68"/>
    </row>
    <row r="925" spans="1:6" x14ac:dyDescent="0.3">
      <c r="A925" s="103"/>
      <c r="B925" s="105"/>
      <c r="C925" s="70"/>
      <c r="D925" s="62"/>
      <c r="E925" s="68"/>
      <c r="F925" s="68"/>
    </row>
    <row r="926" spans="1:6" x14ac:dyDescent="0.3">
      <c r="A926" s="103"/>
      <c r="B926" s="105"/>
      <c r="C926" s="70"/>
      <c r="D926" s="62"/>
      <c r="E926" s="68"/>
      <c r="F926" s="68"/>
    </row>
    <row r="927" spans="1:6" x14ac:dyDescent="0.3">
      <c r="A927" s="103"/>
      <c r="B927" s="105"/>
      <c r="C927" s="70"/>
      <c r="D927" s="62"/>
      <c r="E927" s="68"/>
      <c r="F927" s="68"/>
    </row>
    <row r="928" spans="1:6" x14ac:dyDescent="0.3">
      <c r="A928" s="103"/>
      <c r="B928" s="105"/>
      <c r="C928" s="70"/>
      <c r="D928" s="62"/>
      <c r="E928" s="68"/>
      <c r="F928" s="68"/>
    </row>
    <row r="929" spans="1:6" x14ac:dyDescent="0.3">
      <c r="A929" s="103"/>
      <c r="B929" s="105"/>
      <c r="C929" s="70"/>
      <c r="D929" s="62"/>
      <c r="E929" s="68"/>
      <c r="F929" s="68"/>
    </row>
    <row r="930" spans="1:6" x14ac:dyDescent="0.3">
      <c r="A930" s="103"/>
      <c r="B930" s="105"/>
      <c r="C930" s="70"/>
      <c r="D930" s="62"/>
      <c r="E930" s="68"/>
      <c r="F930" s="68"/>
    </row>
    <row r="931" spans="1:6" x14ac:dyDescent="0.3">
      <c r="A931" s="103"/>
      <c r="B931" s="105"/>
      <c r="C931" s="70"/>
      <c r="D931" s="62"/>
      <c r="E931" s="68"/>
      <c r="F931" s="68"/>
    </row>
    <row r="932" spans="1:6" x14ac:dyDescent="0.3">
      <c r="A932" s="103"/>
      <c r="B932" s="105"/>
      <c r="C932" s="70"/>
      <c r="D932" s="62"/>
      <c r="E932" s="68"/>
      <c r="F932" s="68"/>
    </row>
    <row r="933" spans="1:6" x14ac:dyDescent="0.3">
      <c r="A933" s="103"/>
      <c r="B933" s="105"/>
      <c r="C933" s="70"/>
      <c r="D933" s="62"/>
      <c r="E933" s="68"/>
      <c r="F933" s="68"/>
    </row>
    <row r="934" spans="1:6" x14ac:dyDescent="0.3">
      <c r="A934" s="103"/>
      <c r="B934" s="105"/>
      <c r="C934" s="70"/>
      <c r="D934" s="62"/>
      <c r="E934" s="68"/>
      <c r="F934" s="68"/>
    </row>
    <row r="935" spans="1:6" x14ac:dyDescent="0.3">
      <c r="A935" s="103"/>
      <c r="B935" s="105"/>
      <c r="C935" s="70"/>
      <c r="D935" s="62"/>
      <c r="E935" s="68"/>
      <c r="F935" s="68"/>
    </row>
    <row r="936" spans="1:6" x14ac:dyDescent="0.3">
      <c r="A936" s="103"/>
      <c r="B936" s="105"/>
      <c r="C936" s="70"/>
      <c r="D936" s="62"/>
      <c r="E936" s="68"/>
      <c r="F936" s="68"/>
    </row>
    <row r="937" spans="1:6" x14ac:dyDescent="0.3">
      <c r="A937" s="103"/>
      <c r="B937" s="105"/>
      <c r="C937" s="70"/>
      <c r="D937" s="62"/>
      <c r="E937" s="68"/>
      <c r="F937" s="68"/>
    </row>
    <row r="938" spans="1:6" x14ac:dyDescent="0.3">
      <c r="A938" s="103"/>
      <c r="B938" s="105"/>
      <c r="C938" s="70"/>
      <c r="D938" s="62"/>
      <c r="E938" s="68"/>
      <c r="F938" s="68"/>
    </row>
    <row r="939" spans="1:6" x14ac:dyDescent="0.3">
      <c r="A939" s="103"/>
      <c r="B939" s="105"/>
      <c r="C939" s="70"/>
      <c r="D939" s="62"/>
      <c r="E939" s="68"/>
      <c r="F939" s="68"/>
    </row>
    <row r="940" spans="1:6" x14ac:dyDescent="0.3">
      <c r="A940" s="103"/>
      <c r="B940" s="105"/>
      <c r="C940" s="70"/>
      <c r="D940" s="62"/>
      <c r="E940" s="68"/>
      <c r="F940" s="68"/>
    </row>
    <row r="941" spans="1:6" x14ac:dyDescent="0.3">
      <c r="A941" s="103"/>
      <c r="B941" s="105"/>
      <c r="C941" s="70"/>
      <c r="D941" s="62"/>
      <c r="E941" s="68"/>
      <c r="F941" s="68"/>
    </row>
    <row r="942" spans="1:6" x14ac:dyDescent="0.3">
      <c r="A942" s="103"/>
      <c r="B942" s="105"/>
      <c r="C942" s="70"/>
      <c r="D942" s="62"/>
      <c r="E942" s="68"/>
      <c r="F942" s="68"/>
    </row>
    <row r="943" spans="1:6" x14ac:dyDescent="0.3">
      <c r="A943" s="103"/>
      <c r="B943" s="105"/>
      <c r="C943" s="70"/>
      <c r="D943" s="62"/>
      <c r="E943" s="68"/>
      <c r="F943" s="68"/>
    </row>
    <row r="944" spans="1:6" x14ac:dyDescent="0.3">
      <c r="A944" s="103"/>
      <c r="B944" s="105"/>
      <c r="C944" s="70"/>
      <c r="D944" s="62"/>
      <c r="E944" s="68"/>
      <c r="F944" s="68"/>
    </row>
    <row r="945" spans="1:6" x14ac:dyDescent="0.3">
      <c r="A945" s="103"/>
      <c r="B945" s="105"/>
      <c r="C945" s="70"/>
      <c r="D945" s="62"/>
      <c r="E945" s="68"/>
      <c r="F945" s="68"/>
    </row>
    <row r="946" spans="1:6" x14ac:dyDescent="0.3">
      <c r="A946" s="103"/>
      <c r="B946" s="105"/>
      <c r="C946" s="70"/>
      <c r="D946" s="62"/>
      <c r="E946" s="68"/>
      <c r="F946" s="68"/>
    </row>
    <row r="947" spans="1:6" x14ac:dyDescent="0.3">
      <c r="A947" s="103"/>
      <c r="B947" s="105"/>
      <c r="C947" s="70"/>
      <c r="D947" s="62"/>
      <c r="E947" s="68"/>
      <c r="F947" s="68"/>
    </row>
    <row r="948" spans="1:6" x14ac:dyDescent="0.3">
      <c r="A948" s="103"/>
      <c r="B948" s="105"/>
      <c r="C948" s="70"/>
      <c r="D948" s="62"/>
      <c r="E948" s="68"/>
      <c r="F948" s="68"/>
    </row>
    <row r="949" spans="1:6" x14ac:dyDescent="0.3">
      <c r="A949" s="103"/>
      <c r="B949" s="105"/>
      <c r="C949" s="70"/>
      <c r="D949" s="62"/>
      <c r="E949" s="68"/>
      <c r="F949" s="68"/>
    </row>
    <row r="950" spans="1:6" x14ac:dyDescent="0.3">
      <c r="A950" s="103"/>
      <c r="B950" s="105"/>
      <c r="C950" s="70"/>
      <c r="D950" s="62"/>
      <c r="E950" s="68"/>
      <c r="F950" s="68"/>
    </row>
    <row r="951" spans="1:6" x14ac:dyDescent="0.3">
      <c r="A951" s="103"/>
      <c r="B951" s="105"/>
      <c r="C951" s="70"/>
      <c r="D951" s="62"/>
      <c r="E951" s="68"/>
      <c r="F951" s="68"/>
    </row>
    <row r="952" spans="1:6" x14ac:dyDescent="0.3">
      <c r="A952" s="103"/>
      <c r="B952" s="105"/>
      <c r="C952" s="70"/>
      <c r="D952" s="62"/>
      <c r="E952" s="68"/>
      <c r="F952" s="68"/>
    </row>
    <row r="953" spans="1:6" x14ac:dyDescent="0.3">
      <c r="A953" s="103"/>
      <c r="B953" s="105"/>
      <c r="C953" s="70"/>
      <c r="D953" s="62"/>
      <c r="E953" s="68"/>
      <c r="F953" s="68"/>
    </row>
    <row r="954" spans="1:6" x14ac:dyDescent="0.3">
      <c r="A954" s="103"/>
      <c r="B954" s="105"/>
      <c r="C954" s="70"/>
      <c r="D954" s="62"/>
      <c r="E954" s="68"/>
      <c r="F954" s="68"/>
    </row>
    <row r="955" spans="1:6" x14ac:dyDescent="0.3">
      <c r="A955" s="103"/>
      <c r="B955" s="105"/>
      <c r="C955" s="70"/>
      <c r="D955" s="62"/>
      <c r="E955" s="68"/>
      <c r="F955" s="68"/>
    </row>
    <row r="956" spans="1:6" x14ac:dyDescent="0.3">
      <c r="A956" s="103"/>
      <c r="B956" s="105"/>
      <c r="C956" s="70"/>
      <c r="D956" s="62"/>
      <c r="E956" s="68"/>
      <c r="F956" s="68"/>
    </row>
    <row r="957" spans="1:6" x14ac:dyDescent="0.3">
      <c r="A957" s="103"/>
      <c r="B957" s="105"/>
      <c r="C957" s="70"/>
      <c r="D957" s="62"/>
      <c r="E957" s="68"/>
      <c r="F957" s="68"/>
    </row>
    <row r="958" spans="1:6" x14ac:dyDescent="0.3">
      <c r="A958" s="103"/>
      <c r="B958" s="105"/>
      <c r="C958" s="70"/>
      <c r="D958" s="62"/>
      <c r="E958" s="68"/>
      <c r="F958" s="68"/>
    </row>
    <row r="959" spans="1:6" x14ac:dyDescent="0.3">
      <c r="A959" s="103"/>
      <c r="B959" s="105"/>
      <c r="C959" s="70"/>
      <c r="D959" s="62"/>
      <c r="E959" s="68"/>
      <c r="F959" s="68"/>
    </row>
    <row r="960" spans="1:6" x14ac:dyDescent="0.3">
      <c r="A960" s="103"/>
      <c r="B960" s="105"/>
      <c r="C960" s="70"/>
      <c r="D960" s="62"/>
      <c r="E960" s="68"/>
      <c r="F960" s="68"/>
    </row>
    <row r="961" spans="1:6" x14ac:dyDescent="0.3">
      <c r="A961" s="103"/>
      <c r="B961" s="105"/>
      <c r="C961" s="70"/>
      <c r="D961" s="62"/>
      <c r="E961" s="68"/>
      <c r="F961" s="68"/>
    </row>
    <row r="962" spans="1:6" x14ac:dyDescent="0.3">
      <c r="A962" s="103"/>
      <c r="B962" s="105"/>
      <c r="C962" s="70"/>
      <c r="D962" s="62"/>
      <c r="E962" s="68"/>
      <c r="F962" s="68"/>
    </row>
    <row r="963" spans="1:6" x14ac:dyDescent="0.3">
      <c r="A963" s="103"/>
      <c r="B963" s="105"/>
      <c r="C963" s="70"/>
      <c r="D963" s="62"/>
      <c r="E963" s="68"/>
      <c r="F963" s="68"/>
    </row>
    <row r="964" spans="1:6" x14ac:dyDescent="0.3">
      <c r="A964" s="103"/>
      <c r="B964" s="105"/>
      <c r="C964" s="70"/>
      <c r="D964" s="62"/>
      <c r="E964" s="68"/>
      <c r="F964" s="68"/>
    </row>
    <row r="965" spans="1:6" x14ac:dyDescent="0.3">
      <c r="A965" s="103"/>
      <c r="B965" s="105"/>
      <c r="C965" s="70"/>
      <c r="D965" s="62"/>
      <c r="E965" s="68"/>
      <c r="F965" s="68"/>
    </row>
    <row r="966" spans="1:6" x14ac:dyDescent="0.3">
      <c r="A966" s="103"/>
      <c r="B966" s="105"/>
      <c r="C966" s="70"/>
      <c r="D966" s="62"/>
      <c r="E966" s="68"/>
      <c r="F966" s="68"/>
    </row>
    <row r="967" spans="1:6" x14ac:dyDescent="0.3">
      <c r="A967" s="103"/>
      <c r="B967" s="105"/>
      <c r="C967" s="70"/>
      <c r="D967" s="62"/>
      <c r="E967" s="68"/>
      <c r="F967" s="68"/>
    </row>
    <row r="968" spans="1:6" x14ac:dyDescent="0.3">
      <c r="A968" s="103"/>
      <c r="B968" s="105"/>
      <c r="C968" s="70"/>
      <c r="D968" s="62"/>
      <c r="E968" s="68"/>
      <c r="F968" s="68"/>
    </row>
    <row r="969" spans="1:6" x14ac:dyDescent="0.3">
      <c r="A969" s="103"/>
      <c r="B969" s="105"/>
      <c r="C969" s="70"/>
      <c r="D969" s="62"/>
      <c r="E969" s="68"/>
      <c r="F969" s="68"/>
    </row>
    <row r="970" spans="1:6" x14ac:dyDescent="0.3">
      <c r="A970" s="103"/>
      <c r="B970" s="105"/>
      <c r="C970" s="70"/>
      <c r="D970" s="62"/>
      <c r="E970" s="68"/>
      <c r="F970" s="68"/>
    </row>
    <row r="971" spans="1:6" x14ac:dyDescent="0.3">
      <c r="A971" s="103"/>
      <c r="B971" s="105"/>
      <c r="C971" s="70"/>
      <c r="D971" s="62"/>
      <c r="E971" s="68"/>
      <c r="F971" s="68"/>
    </row>
    <row r="972" spans="1:6" x14ac:dyDescent="0.3">
      <c r="A972" s="103"/>
      <c r="B972" s="105"/>
      <c r="C972" s="70"/>
      <c r="D972" s="62"/>
      <c r="E972" s="68"/>
      <c r="F972" s="68"/>
    </row>
    <row r="973" spans="1:6" x14ac:dyDescent="0.3">
      <c r="A973" s="103"/>
      <c r="B973" s="105"/>
      <c r="C973" s="70"/>
      <c r="D973" s="62"/>
      <c r="E973" s="68"/>
      <c r="F973" s="68"/>
    </row>
    <row r="974" spans="1:6" x14ac:dyDescent="0.3">
      <c r="A974" s="103"/>
      <c r="B974" s="105"/>
      <c r="C974" s="70"/>
      <c r="D974" s="62"/>
      <c r="E974" s="68"/>
      <c r="F974" s="68"/>
    </row>
    <row r="975" spans="1:6" x14ac:dyDescent="0.3">
      <c r="A975" s="103"/>
      <c r="B975" s="105"/>
      <c r="C975" s="70"/>
      <c r="D975" s="62"/>
      <c r="E975" s="68"/>
      <c r="F975" s="68"/>
    </row>
    <row r="976" spans="1:6" x14ac:dyDescent="0.3">
      <c r="A976" s="103"/>
      <c r="B976" s="105"/>
      <c r="C976" s="70"/>
      <c r="D976" s="62"/>
      <c r="E976" s="68"/>
      <c r="F976" s="68"/>
    </row>
    <row r="977" spans="1:6" x14ac:dyDescent="0.3">
      <c r="A977" s="103"/>
      <c r="B977" s="105"/>
      <c r="C977" s="70"/>
      <c r="D977" s="62"/>
      <c r="E977" s="68"/>
      <c r="F977" s="68"/>
    </row>
    <row r="978" spans="1:6" x14ac:dyDescent="0.3">
      <c r="A978" s="103"/>
      <c r="B978" s="105"/>
      <c r="C978" s="70"/>
      <c r="D978" s="62"/>
      <c r="E978" s="68"/>
      <c r="F978" s="68"/>
    </row>
    <row r="979" spans="1:6" x14ac:dyDescent="0.3">
      <c r="A979" s="103"/>
      <c r="B979" s="105"/>
      <c r="C979" s="70"/>
      <c r="D979" s="62"/>
      <c r="E979" s="68"/>
      <c r="F979" s="68"/>
    </row>
    <row r="980" spans="1:6" x14ac:dyDescent="0.3">
      <c r="A980" s="103"/>
      <c r="B980" s="105"/>
      <c r="C980" s="70"/>
      <c r="D980" s="62"/>
      <c r="E980" s="68"/>
      <c r="F980" s="68"/>
    </row>
    <row r="981" spans="1:6" x14ac:dyDescent="0.3">
      <c r="A981" s="103"/>
      <c r="B981" s="105"/>
      <c r="C981" s="70"/>
      <c r="D981" s="62"/>
      <c r="E981" s="68"/>
      <c r="F981" s="68"/>
    </row>
    <row r="982" spans="1:6" x14ac:dyDescent="0.3">
      <c r="A982" s="103"/>
      <c r="B982" s="105"/>
      <c r="C982" s="70"/>
      <c r="D982" s="62"/>
      <c r="E982" s="68"/>
      <c r="F982" s="68"/>
    </row>
    <row r="983" spans="1:6" x14ac:dyDescent="0.3">
      <c r="A983" s="103"/>
      <c r="B983" s="105"/>
      <c r="C983" s="70"/>
      <c r="D983" s="62"/>
      <c r="E983" s="68"/>
      <c r="F983" s="68"/>
    </row>
    <row r="984" spans="1:6" x14ac:dyDescent="0.3">
      <c r="A984" s="103"/>
      <c r="B984" s="105"/>
      <c r="C984" s="70"/>
      <c r="D984" s="62"/>
      <c r="E984" s="68"/>
      <c r="F984" s="68"/>
    </row>
    <row r="985" spans="1:6" x14ac:dyDescent="0.3">
      <c r="A985" s="103"/>
      <c r="B985" s="105"/>
      <c r="C985" s="70"/>
      <c r="D985" s="62"/>
      <c r="E985" s="68"/>
      <c r="F985" s="68"/>
    </row>
    <row r="986" spans="1:6" x14ac:dyDescent="0.3">
      <c r="A986" s="103"/>
      <c r="B986" s="105"/>
      <c r="C986" s="70"/>
      <c r="D986" s="62"/>
      <c r="E986" s="68"/>
      <c r="F986" s="68"/>
    </row>
    <row r="987" spans="1:6" x14ac:dyDescent="0.3">
      <c r="A987" s="103"/>
      <c r="B987" s="105"/>
      <c r="C987" s="70"/>
      <c r="D987" s="62"/>
      <c r="E987" s="68"/>
      <c r="F987" s="68"/>
    </row>
    <row r="988" spans="1:6" x14ac:dyDescent="0.3">
      <c r="A988" s="103"/>
      <c r="B988" s="105"/>
      <c r="C988" s="70"/>
      <c r="D988" s="62"/>
      <c r="E988" s="68"/>
      <c r="F988" s="68"/>
    </row>
    <row r="989" spans="1:6" x14ac:dyDescent="0.3">
      <c r="A989" s="103"/>
      <c r="B989" s="105"/>
      <c r="C989" s="70"/>
      <c r="D989" s="62"/>
      <c r="E989" s="68"/>
      <c r="F989" s="68"/>
    </row>
    <row r="990" spans="1:6" x14ac:dyDescent="0.3">
      <c r="A990" s="103"/>
      <c r="B990" s="105"/>
      <c r="C990" s="70"/>
      <c r="D990" s="62"/>
      <c r="E990" s="68"/>
      <c r="F990" s="68"/>
    </row>
    <row r="991" spans="1:6" x14ac:dyDescent="0.3">
      <c r="A991" s="103"/>
      <c r="B991" s="105"/>
      <c r="C991" s="70"/>
      <c r="D991" s="62"/>
      <c r="E991" s="68"/>
      <c r="F991" s="68"/>
    </row>
    <row r="992" spans="1:6" x14ac:dyDescent="0.3">
      <c r="A992" s="103"/>
      <c r="B992" s="105"/>
      <c r="C992" s="70"/>
      <c r="D992" s="62"/>
      <c r="E992" s="68"/>
      <c r="F992" s="68"/>
    </row>
    <row r="993" spans="1:6" x14ac:dyDescent="0.3">
      <c r="A993" s="103"/>
      <c r="B993" s="105"/>
      <c r="C993" s="70"/>
      <c r="D993" s="62"/>
      <c r="E993" s="68"/>
      <c r="F993" s="68"/>
    </row>
    <row r="994" spans="1:6" x14ac:dyDescent="0.3">
      <c r="A994" s="103"/>
      <c r="B994" s="105"/>
      <c r="C994" s="70"/>
      <c r="D994" s="62"/>
      <c r="E994" s="68"/>
      <c r="F994" s="68"/>
    </row>
    <row r="995" spans="1:6" x14ac:dyDescent="0.3">
      <c r="A995" s="103"/>
      <c r="B995" s="105"/>
      <c r="C995" s="70"/>
      <c r="D995" s="62"/>
      <c r="E995" s="68"/>
      <c r="F995" s="68"/>
    </row>
    <row r="996" spans="1:6" x14ac:dyDescent="0.3">
      <c r="A996" s="103"/>
      <c r="B996" s="105"/>
      <c r="C996" s="70"/>
      <c r="D996" s="62"/>
      <c r="E996" s="68"/>
      <c r="F996" s="68"/>
    </row>
    <row r="997" spans="1:6" x14ac:dyDescent="0.3">
      <c r="A997" s="103"/>
      <c r="B997" s="105"/>
      <c r="C997" s="70"/>
      <c r="D997" s="62"/>
      <c r="E997" s="68"/>
      <c r="F997" s="68"/>
    </row>
    <row r="998" spans="1:6" x14ac:dyDescent="0.3">
      <c r="A998" s="103"/>
      <c r="B998" s="105"/>
      <c r="C998" s="70"/>
      <c r="D998" s="62"/>
      <c r="E998" s="68"/>
      <c r="F998" s="68"/>
    </row>
    <row r="999" spans="1:6" x14ac:dyDescent="0.3">
      <c r="A999" s="103"/>
      <c r="B999" s="105"/>
      <c r="C999" s="70"/>
      <c r="D999" s="62"/>
      <c r="E999" s="68"/>
      <c r="F999" s="68"/>
    </row>
    <row r="1000" spans="1:6" x14ac:dyDescent="0.3">
      <c r="A1000" s="103"/>
      <c r="B1000" s="105"/>
      <c r="C1000" s="70"/>
      <c r="D1000" s="62"/>
      <c r="E1000" s="68"/>
      <c r="F1000" s="68"/>
    </row>
    <row r="1001" spans="1:6" x14ac:dyDescent="0.3">
      <c r="A1001" s="103"/>
      <c r="B1001" s="105"/>
      <c r="C1001" s="70"/>
      <c r="D1001" s="62"/>
      <c r="E1001" s="68"/>
      <c r="F1001" s="68"/>
    </row>
    <row r="1002" spans="1:6" x14ac:dyDescent="0.3">
      <c r="A1002" s="103"/>
      <c r="B1002" s="105"/>
      <c r="C1002" s="70"/>
      <c r="D1002" s="62"/>
      <c r="E1002" s="68"/>
      <c r="F1002" s="68"/>
    </row>
    <row r="1003" spans="1:6" x14ac:dyDescent="0.3">
      <c r="A1003" s="103"/>
      <c r="B1003" s="105"/>
      <c r="C1003" s="70"/>
      <c r="D1003" s="62"/>
      <c r="E1003" s="68"/>
      <c r="F1003" s="68"/>
    </row>
    <row r="1004" spans="1:6" x14ac:dyDescent="0.3">
      <c r="A1004" s="103"/>
      <c r="B1004" s="105"/>
      <c r="C1004" s="70"/>
      <c r="D1004" s="62"/>
      <c r="E1004" s="68"/>
      <c r="F1004" s="68"/>
    </row>
    <row r="1005" spans="1:6" x14ac:dyDescent="0.3">
      <c r="A1005" s="103"/>
      <c r="B1005" s="105"/>
      <c r="C1005" s="70"/>
      <c r="D1005" s="62"/>
      <c r="E1005" s="68"/>
      <c r="F1005" s="68"/>
    </row>
    <row r="1006" spans="1:6" x14ac:dyDescent="0.3">
      <c r="A1006" s="103"/>
      <c r="B1006" s="105"/>
      <c r="C1006" s="70"/>
      <c r="D1006" s="62"/>
      <c r="E1006" s="68"/>
      <c r="F1006" s="68"/>
    </row>
    <row r="1007" spans="1:6" x14ac:dyDescent="0.3">
      <c r="A1007" s="103"/>
      <c r="B1007" s="105"/>
      <c r="C1007" s="70"/>
      <c r="D1007" s="62"/>
      <c r="E1007" s="68"/>
      <c r="F1007" s="68"/>
    </row>
    <row r="1008" spans="1:6" x14ac:dyDescent="0.3">
      <c r="A1008" s="103"/>
      <c r="B1008" s="105"/>
      <c r="C1008" s="70"/>
      <c r="D1008" s="62"/>
      <c r="E1008" s="68"/>
      <c r="F1008" s="68"/>
    </row>
    <row r="1009" spans="1:6" x14ac:dyDescent="0.3">
      <c r="A1009" s="103"/>
      <c r="B1009" s="105"/>
      <c r="C1009" s="70"/>
      <c r="D1009" s="62"/>
      <c r="E1009" s="68"/>
      <c r="F1009" s="68"/>
    </row>
    <row r="1010" spans="1:6" x14ac:dyDescent="0.3">
      <c r="A1010" s="103"/>
      <c r="B1010" s="105"/>
      <c r="C1010" s="70"/>
      <c r="D1010" s="62"/>
      <c r="E1010" s="68"/>
      <c r="F1010" s="68"/>
    </row>
    <row r="1011" spans="1:6" x14ac:dyDescent="0.3">
      <c r="A1011" s="103"/>
      <c r="B1011" s="105"/>
      <c r="C1011" s="70"/>
      <c r="D1011" s="62"/>
      <c r="E1011" s="68"/>
      <c r="F1011" s="68"/>
    </row>
    <row r="1012" spans="1:6" x14ac:dyDescent="0.3">
      <c r="A1012" s="103"/>
      <c r="B1012" s="105"/>
      <c r="C1012" s="70"/>
      <c r="D1012" s="62"/>
      <c r="E1012" s="68"/>
      <c r="F1012" s="68"/>
    </row>
    <row r="1013" spans="1:6" x14ac:dyDescent="0.3">
      <c r="A1013" s="103"/>
      <c r="B1013" s="105"/>
      <c r="C1013" s="70"/>
      <c r="D1013" s="62"/>
      <c r="E1013" s="68"/>
      <c r="F1013" s="68"/>
    </row>
    <row r="1014" spans="1:6" x14ac:dyDescent="0.3">
      <c r="A1014" s="103"/>
      <c r="B1014" s="105"/>
      <c r="C1014" s="70"/>
      <c r="D1014" s="62"/>
      <c r="E1014" s="68"/>
      <c r="F1014" s="68"/>
    </row>
    <row r="1015" spans="1:6" x14ac:dyDescent="0.3">
      <c r="A1015" s="103"/>
      <c r="B1015" s="105"/>
      <c r="C1015" s="70"/>
      <c r="D1015" s="62"/>
      <c r="E1015" s="68"/>
      <c r="F1015" s="68"/>
    </row>
    <row r="1016" spans="1:6" x14ac:dyDescent="0.3">
      <c r="A1016" s="103"/>
      <c r="B1016" s="105"/>
      <c r="C1016" s="70"/>
      <c r="D1016" s="62"/>
      <c r="E1016" s="68"/>
      <c r="F1016" s="68"/>
    </row>
    <row r="1017" spans="1:6" x14ac:dyDescent="0.3">
      <c r="A1017" s="103"/>
      <c r="B1017" s="105"/>
      <c r="C1017" s="70"/>
      <c r="D1017" s="62"/>
      <c r="E1017" s="68"/>
      <c r="F1017" s="68"/>
    </row>
    <row r="1018" spans="1:6" x14ac:dyDescent="0.3">
      <c r="A1018" s="103"/>
      <c r="B1018" s="105"/>
      <c r="C1018" s="70"/>
      <c r="D1018" s="62"/>
      <c r="E1018" s="68"/>
      <c r="F1018" s="68"/>
    </row>
    <row r="1019" spans="1:6" x14ac:dyDescent="0.3">
      <c r="A1019" s="103"/>
      <c r="B1019" s="105"/>
      <c r="C1019" s="70"/>
      <c r="D1019" s="62"/>
      <c r="E1019" s="68"/>
      <c r="F1019" s="68"/>
    </row>
    <row r="1020" spans="1:6" x14ac:dyDescent="0.3">
      <c r="A1020" s="103"/>
      <c r="B1020" s="105"/>
      <c r="C1020" s="70"/>
      <c r="D1020" s="62"/>
      <c r="E1020" s="68"/>
      <c r="F1020" s="68"/>
    </row>
    <row r="1021" spans="1:6" x14ac:dyDescent="0.3">
      <c r="A1021" s="103"/>
      <c r="B1021" s="105"/>
      <c r="C1021" s="70"/>
      <c r="D1021" s="62"/>
      <c r="E1021" s="68"/>
      <c r="F1021" s="68"/>
    </row>
    <row r="1022" spans="1:6" x14ac:dyDescent="0.3">
      <c r="A1022" s="103"/>
      <c r="B1022" s="105"/>
      <c r="C1022" s="70"/>
      <c r="D1022" s="62"/>
      <c r="E1022" s="68"/>
      <c r="F1022" s="68"/>
    </row>
    <row r="1023" spans="1:6" x14ac:dyDescent="0.3">
      <c r="A1023" s="103"/>
      <c r="B1023" s="105"/>
      <c r="C1023" s="70"/>
      <c r="D1023" s="62"/>
      <c r="E1023" s="68"/>
      <c r="F1023" s="68"/>
    </row>
    <row r="1024" spans="1:6" x14ac:dyDescent="0.3">
      <c r="A1024" s="103"/>
      <c r="B1024" s="105"/>
      <c r="C1024" s="70"/>
      <c r="D1024" s="62"/>
      <c r="E1024" s="68"/>
      <c r="F1024" s="68"/>
    </row>
    <row r="1025" spans="1:6" x14ac:dyDescent="0.3">
      <c r="A1025" s="103"/>
      <c r="B1025" s="105"/>
      <c r="C1025" s="70"/>
      <c r="D1025" s="62"/>
      <c r="E1025" s="68"/>
      <c r="F1025" s="68"/>
    </row>
    <row r="1026" spans="1:6" x14ac:dyDescent="0.3">
      <c r="A1026" s="103"/>
      <c r="B1026" s="105"/>
      <c r="C1026" s="70"/>
      <c r="D1026" s="62"/>
      <c r="E1026" s="68"/>
      <c r="F1026" s="68"/>
    </row>
    <row r="1027" spans="1:6" x14ac:dyDescent="0.3">
      <c r="A1027" s="103"/>
      <c r="B1027" s="105"/>
      <c r="C1027" s="70"/>
      <c r="D1027" s="62"/>
      <c r="E1027" s="68"/>
      <c r="F1027" s="68"/>
    </row>
    <row r="1028" spans="1:6" x14ac:dyDescent="0.3">
      <c r="A1028" s="103"/>
      <c r="B1028" s="105"/>
      <c r="C1028" s="70"/>
      <c r="D1028" s="62"/>
      <c r="E1028" s="68"/>
      <c r="F1028" s="68"/>
    </row>
    <row r="1029" spans="1:6" x14ac:dyDescent="0.3">
      <c r="A1029" s="103"/>
      <c r="B1029" s="105"/>
      <c r="C1029" s="70"/>
      <c r="D1029" s="62"/>
      <c r="E1029" s="68"/>
      <c r="F1029" s="68"/>
    </row>
    <row r="1030" spans="1:6" x14ac:dyDescent="0.3">
      <c r="A1030" s="103"/>
      <c r="B1030" s="105"/>
      <c r="C1030" s="70"/>
      <c r="D1030" s="62"/>
      <c r="E1030" s="68"/>
      <c r="F1030" s="68"/>
    </row>
    <row r="1031" spans="1:6" x14ac:dyDescent="0.3">
      <c r="A1031" s="103"/>
      <c r="B1031" s="105"/>
      <c r="C1031" s="70"/>
      <c r="D1031" s="62"/>
      <c r="E1031" s="68"/>
      <c r="F1031" s="68"/>
    </row>
    <row r="1032" spans="1:6" x14ac:dyDescent="0.3">
      <c r="A1032" s="103"/>
      <c r="B1032" s="105"/>
      <c r="C1032" s="70"/>
      <c r="D1032" s="62"/>
      <c r="E1032" s="68"/>
      <c r="F1032" s="68"/>
    </row>
    <row r="1033" spans="1:6" x14ac:dyDescent="0.3">
      <c r="A1033" s="103"/>
      <c r="B1033" s="105"/>
      <c r="C1033" s="70"/>
      <c r="D1033" s="62"/>
      <c r="E1033" s="68"/>
      <c r="F1033" s="68"/>
    </row>
    <row r="1034" spans="1:6" x14ac:dyDescent="0.3">
      <c r="A1034" s="103"/>
      <c r="B1034" s="105"/>
      <c r="C1034" s="70"/>
      <c r="D1034" s="62"/>
      <c r="E1034" s="68"/>
      <c r="F1034" s="68"/>
    </row>
    <row r="1035" spans="1:6" x14ac:dyDescent="0.3">
      <c r="A1035" s="103"/>
      <c r="B1035" s="105"/>
      <c r="C1035" s="70"/>
      <c r="D1035" s="62"/>
      <c r="E1035" s="68"/>
      <c r="F1035" s="68"/>
    </row>
    <row r="1036" spans="1:6" x14ac:dyDescent="0.3">
      <c r="A1036" s="103"/>
      <c r="B1036" s="105"/>
      <c r="C1036" s="70"/>
      <c r="D1036" s="62"/>
      <c r="E1036" s="68"/>
      <c r="F1036" s="68"/>
    </row>
    <row r="1037" spans="1:6" x14ac:dyDescent="0.3">
      <c r="A1037" s="103"/>
      <c r="B1037" s="105"/>
      <c r="C1037" s="70"/>
      <c r="D1037" s="62"/>
      <c r="E1037" s="68"/>
      <c r="F1037" s="68"/>
    </row>
    <row r="1038" spans="1:6" x14ac:dyDescent="0.3">
      <c r="A1038" s="103"/>
      <c r="B1038" s="105"/>
      <c r="C1038" s="70"/>
      <c r="D1038" s="62"/>
      <c r="E1038" s="68"/>
      <c r="F1038" s="68"/>
    </row>
    <row r="1039" spans="1:6" x14ac:dyDescent="0.3">
      <c r="A1039" s="103"/>
      <c r="B1039" s="105"/>
      <c r="C1039" s="70"/>
      <c r="D1039" s="62"/>
      <c r="E1039" s="68"/>
      <c r="F1039" s="68"/>
    </row>
    <row r="1040" spans="1:6" x14ac:dyDescent="0.3">
      <c r="A1040" s="103"/>
      <c r="B1040" s="105"/>
      <c r="C1040" s="70"/>
      <c r="D1040" s="62"/>
      <c r="E1040" s="68"/>
      <c r="F1040" s="68"/>
    </row>
    <row r="1041" spans="1:6" x14ac:dyDescent="0.3">
      <c r="A1041" s="103"/>
      <c r="B1041" s="105"/>
      <c r="C1041" s="70"/>
      <c r="D1041" s="62"/>
      <c r="E1041" s="68"/>
      <c r="F1041" s="68"/>
    </row>
    <row r="1042" spans="1:6" x14ac:dyDescent="0.3">
      <c r="A1042" s="103"/>
      <c r="B1042" s="105"/>
      <c r="C1042" s="70"/>
      <c r="D1042" s="62"/>
      <c r="E1042" s="68"/>
      <c r="F1042" s="68"/>
    </row>
    <row r="1043" spans="1:6" x14ac:dyDescent="0.3">
      <c r="A1043" s="103"/>
      <c r="B1043" s="105"/>
      <c r="C1043" s="70"/>
      <c r="D1043" s="62"/>
      <c r="E1043" s="68"/>
      <c r="F1043" s="68"/>
    </row>
    <row r="1044" spans="1:6" x14ac:dyDescent="0.3">
      <c r="A1044" s="103"/>
      <c r="B1044" s="105"/>
      <c r="C1044" s="70"/>
      <c r="D1044" s="62"/>
      <c r="E1044" s="68"/>
      <c r="F1044" s="68"/>
    </row>
    <row r="1045" spans="1:6" x14ac:dyDescent="0.3">
      <c r="A1045" s="103"/>
      <c r="B1045" s="105"/>
      <c r="C1045" s="70"/>
      <c r="D1045" s="62"/>
      <c r="E1045" s="68"/>
      <c r="F1045" s="68"/>
    </row>
    <row r="1046" spans="1:6" x14ac:dyDescent="0.3">
      <c r="A1046" s="103"/>
      <c r="B1046" s="105"/>
      <c r="C1046" s="70"/>
      <c r="D1046" s="62"/>
      <c r="E1046" s="68"/>
      <c r="F1046" s="68"/>
    </row>
    <row r="1047" spans="1:6" x14ac:dyDescent="0.3">
      <c r="A1047" s="103"/>
      <c r="B1047" s="105"/>
      <c r="C1047" s="70"/>
      <c r="D1047" s="62"/>
      <c r="E1047" s="68"/>
      <c r="F1047" s="68"/>
    </row>
    <row r="1048" spans="1:6" x14ac:dyDescent="0.3">
      <c r="A1048" s="103"/>
      <c r="B1048" s="105"/>
      <c r="C1048" s="70"/>
      <c r="D1048" s="62"/>
      <c r="E1048" s="68"/>
      <c r="F1048" s="68"/>
    </row>
    <row r="1049" spans="1:6" x14ac:dyDescent="0.3">
      <c r="A1049" s="103"/>
      <c r="B1049" s="105"/>
      <c r="C1049" s="70"/>
      <c r="D1049" s="62"/>
      <c r="E1049" s="68"/>
      <c r="F1049" s="68"/>
    </row>
    <row r="1050" spans="1:6" x14ac:dyDescent="0.3">
      <c r="A1050" s="103"/>
      <c r="B1050" s="105"/>
      <c r="C1050" s="70"/>
      <c r="D1050" s="62"/>
      <c r="E1050" s="68"/>
      <c r="F1050" s="68"/>
    </row>
    <row r="1051" spans="1:6" x14ac:dyDescent="0.3">
      <c r="A1051" s="103"/>
      <c r="B1051" s="105"/>
      <c r="C1051" s="70"/>
      <c r="D1051" s="62"/>
      <c r="E1051" s="68"/>
      <c r="F1051" s="68"/>
    </row>
    <row r="1052" spans="1:6" x14ac:dyDescent="0.3">
      <c r="A1052" s="103"/>
      <c r="B1052" s="105"/>
      <c r="C1052" s="70"/>
      <c r="D1052" s="62"/>
      <c r="E1052" s="68"/>
      <c r="F1052" s="68"/>
    </row>
    <row r="1053" spans="1:6" x14ac:dyDescent="0.3">
      <c r="A1053" s="103"/>
      <c r="B1053" s="105"/>
      <c r="C1053" s="70"/>
      <c r="D1053" s="62"/>
      <c r="E1053" s="68"/>
      <c r="F1053" s="68"/>
    </row>
    <row r="1054" spans="1:6" x14ac:dyDescent="0.3">
      <c r="A1054" s="103"/>
      <c r="B1054" s="105"/>
      <c r="C1054" s="70"/>
      <c r="D1054" s="62"/>
      <c r="E1054" s="68"/>
      <c r="F1054" s="68"/>
    </row>
    <row r="1055" spans="1:6" x14ac:dyDescent="0.3">
      <c r="A1055" s="103"/>
      <c r="B1055" s="105"/>
      <c r="C1055" s="70"/>
      <c r="D1055" s="62"/>
      <c r="E1055" s="68"/>
      <c r="F1055" s="68"/>
    </row>
    <row r="1056" spans="1:6" x14ac:dyDescent="0.3">
      <c r="A1056" s="103"/>
      <c r="B1056" s="105"/>
      <c r="C1056" s="70"/>
      <c r="D1056" s="62"/>
      <c r="E1056" s="68"/>
      <c r="F1056" s="68"/>
    </row>
    <row r="1057" spans="1:6" x14ac:dyDescent="0.3">
      <c r="A1057" s="103"/>
      <c r="B1057" s="105"/>
      <c r="C1057" s="70"/>
      <c r="D1057" s="62"/>
      <c r="E1057" s="68"/>
      <c r="F1057" s="68"/>
    </row>
    <row r="1058" spans="1:6" x14ac:dyDescent="0.3">
      <c r="A1058" s="103"/>
      <c r="B1058" s="105"/>
      <c r="C1058" s="70"/>
      <c r="D1058" s="62"/>
      <c r="E1058" s="68"/>
      <c r="F1058" s="68"/>
    </row>
    <row r="1059" spans="1:6" x14ac:dyDescent="0.3">
      <c r="A1059" s="103"/>
      <c r="B1059" s="105"/>
      <c r="C1059" s="70"/>
      <c r="D1059" s="62"/>
      <c r="E1059" s="68"/>
      <c r="F1059" s="68"/>
    </row>
    <row r="1060" spans="1:6" x14ac:dyDescent="0.3">
      <c r="A1060" s="103"/>
      <c r="B1060" s="105"/>
      <c r="C1060" s="70"/>
      <c r="D1060" s="62"/>
      <c r="E1060" s="68"/>
      <c r="F1060" s="68"/>
    </row>
    <row r="1061" spans="1:6" x14ac:dyDescent="0.3">
      <c r="A1061" s="103"/>
      <c r="B1061" s="105"/>
      <c r="C1061" s="70"/>
      <c r="D1061" s="62"/>
      <c r="E1061" s="68"/>
      <c r="F1061" s="68"/>
    </row>
    <row r="1062" spans="1:6" x14ac:dyDescent="0.3">
      <c r="A1062" s="103"/>
      <c r="B1062" s="105"/>
      <c r="C1062" s="70"/>
      <c r="D1062" s="62"/>
      <c r="E1062" s="68"/>
      <c r="F1062" s="68"/>
    </row>
    <row r="1063" spans="1:6" x14ac:dyDescent="0.3">
      <c r="A1063" s="103"/>
      <c r="B1063" s="105"/>
      <c r="C1063" s="70"/>
      <c r="D1063" s="62"/>
      <c r="E1063" s="68"/>
      <c r="F1063" s="68"/>
    </row>
    <row r="1064" spans="1:6" x14ac:dyDescent="0.3">
      <c r="A1064" s="103"/>
      <c r="B1064" s="105"/>
      <c r="C1064" s="70"/>
      <c r="D1064" s="62"/>
      <c r="E1064" s="68"/>
      <c r="F1064" s="68"/>
    </row>
    <row r="1065" spans="1:6" x14ac:dyDescent="0.3">
      <c r="A1065" s="103"/>
      <c r="B1065" s="105"/>
      <c r="C1065" s="70"/>
      <c r="D1065" s="62"/>
      <c r="E1065" s="68"/>
      <c r="F1065" s="68"/>
    </row>
    <row r="1066" spans="1:6" x14ac:dyDescent="0.3">
      <c r="A1066" s="103"/>
      <c r="B1066" s="105"/>
      <c r="C1066" s="70"/>
      <c r="D1066" s="62"/>
      <c r="E1066" s="68"/>
      <c r="F1066" s="68"/>
    </row>
    <row r="1067" spans="1:6" x14ac:dyDescent="0.3">
      <c r="A1067" s="103"/>
      <c r="B1067" s="105"/>
      <c r="C1067" s="70"/>
      <c r="D1067" s="62"/>
      <c r="E1067" s="68"/>
      <c r="F1067" s="68"/>
    </row>
    <row r="1068" spans="1:6" x14ac:dyDescent="0.3">
      <c r="A1068" s="103"/>
      <c r="B1068" s="105"/>
      <c r="C1068" s="70"/>
      <c r="D1068" s="62"/>
      <c r="E1068" s="68"/>
      <c r="F1068" s="68"/>
    </row>
    <row r="1069" spans="1:6" x14ac:dyDescent="0.3">
      <c r="A1069" s="103"/>
      <c r="B1069" s="105"/>
      <c r="C1069" s="70"/>
      <c r="D1069" s="62"/>
      <c r="E1069" s="68"/>
      <c r="F1069" s="68"/>
    </row>
    <row r="1070" spans="1:6" x14ac:dyDescent="0.3">
      <c r="A1070" s="103"/>
      <c r="B1070" s="105"/>
      <c r="C1070" s="70"/>
      <c r="D1070" s="62"/>
      <c r="E1070" s="68"/>
      <c r="F1070" s="68"/>
    </row>
    <row r="1071" spans="1:6" x14ac:dyDescent="0.3">
      <c r="A1071" s="103"/>
      <c r="B1071" s="105"/>
      <c r="C1071" s="70"/>
      <c r="D1071" s="62"/>
      <c r="E1071" s="68"/>
      <c r="F1071" s="68"/>
    </row>
    <row r="1072" spans="1:6" x14ac:dyDescent="0.3">
      <c r="A1072" s="103"/>
      <c r="B1072" s="105"/>
      <c r="C1072" s="70"/>
      <c r="D1072" s="62"/>
      <c r="E1072" s="68"/>
      <c r="F1072" s="68"/>
    </row>
    <row r="1073" spans="1:6" x14ac:dyDescent="0.3">
      <c r="A1073" s="103"/>
      <c r="B1073" s="105"/>
      <c r="C1073" s="70"/>
      <c r="D1073" s="62"/>
      <c r="E1073" s="68"/>
      <c r="F1073" s="68"/>
    </row>
    <row r="1074" spans="1:6" x14ac:dyDescent="0.3">
      <c r="A1074" s="103"/>
      <c r="B1074" s="105"/>
      <c r="C1074" s="70"/>
      <c r="D1074" s="62"/>
      <c r="E1074" s="68"/>
      <c r="F1074" s="68"/>
    </row>
    <row r="1075" spans="1:6" x14ac:dyDescent="0.3">
      <c r="A1075" s="103"/>
      <c r="B1075" s="105"/>
      <c r="C1075" s="70"/>
      <c r="D1075" s="62"/>
      <c r="E1075" s="68"/>
      <c r="F1075" s="68"/>
    </row>
    <row r="1076" spans="1:6" x14ac:dyDescent="0.3">
      <c r="A1076" s="103"/>
      <c r="B1076" s="105"/>
      <c r="C1076" s="70"/>
      <c r="D1076" s="62"/>
      <c r="E1076" s="68"/>
      <c r="F1076" s="68"/>
    </row>
    <row r="1077" spans="1:6" x14ac:dyDescent="0.3">
      <c r="A1077" s="103"/>
      <c r="B1077" s="105"/>
      <c r="C1077" s="70"/>
      <c r="D1077" s="62"/>
      <c r="E1077" s="68"/>
      <c r="F1077" s="68"/>
    </row>
    <row r="1078" spans="1:6" x14ac:dyDescent="0.3">
      <c r="A1078" s="103"/>
      <c r="B1078" s="105"/>
      <c r="C1078" s="70"/>
      <c r="D1078" s="62"/>
      <c r="E1078" s="68"/>
      <c r="F1078" s="68"/>
    </row>
    <row r="1079" spans="1:6" x14ac:dyDescent="0.3">
      <c r="A1079" s="103"/>
      <c r="B1079" s="105"/>
      <c r="C1079" s="70"/>
      <c r="D1079" s="62"/>
      <c r="E1079" s="68"/>
      <c r="F1079" s="68"/>
    </row>
    <row r="1080" spans="1:6" x14ac:dyDescent="0.3">
      <c r="A1080" s="103"/>
      <c r="B1080" s="105"/>
      <c r="C1080" s="70"/>
      <c r="D1080" s="62"/>
      <c r="E1080" s="68"/>
      <c r="F1080" s="68"/>
    </row>
    <row r="1081" spans="1:6" x14ac:dyDescent="0.3">
      <c r="A1081" s="103"/>
      <c r="B1081" s="105"/>
      <c r="C1081" s="70"/>
      <c r="D1081" s="62"/>
      <c r="E1081" s="68"/>
      <c r="F1081" s="68"/>
    </row>
    <row r="1082" spans="1:6" x14ac:dyDescent="0.3">
      <c r="A1082" s="103"/>
      <c r="B1082" s="105"/>
      <c r="C1082" s="70"/>
      <c r="D1082" s="62"/>
      <c r="E1082" s="68"/>
      <c r="F1082" s="68"/>
    </row>
    <row r="1083" spans="1:6" x14ac:dyDescent="0.3">
      <c r="A1083" s="103"/>
      <c r="B1083" s="105"/>
      <c r="C1083" s="70"/>
      <c r="D1083" s="62"/>
      <c r="E1083" s="68"/>
      <c r="F1083" s="68"/>
    </row>
    <row r="1084" spans="1:6" x14ac:dyDescent="0.3">
      <c r="A1084" s="103"/>
      <c r="B1084" s="105"/>
      <c r="C1084" s="70"/>
      <c r="D1084" s="62"/>
      <c r="E1084" s="68"/>
      <c r="F1084" s="68"/>
    </row>
    <row r="1085" spans="1:6" x14ac:dyDescent="0.3">
      <c r="A1085" s="103"/>
      <c r="B1085" s="105"/>
      <c r="C1085" s="70"/>
      <c r="D1085" s="62"/>
      <c r="E1085" s="68"/>
      <c r="F1085" s="68"/>
    </row>
    <row r="1086" spans="1:6" x14ac:dyDescent="0.3">
      <c r="A1086" s="103"/>
      <c r="B1086" s="105"/>
      <c r="C1086" s="70"/>
      <c r="D1086" s="62"/>
      <c r="E1086" s="68"/>
      <c r="F1086" s="68"/>
    </row>
    <row r="1087" spans="1:6" x14ac:dyDescent="0.3">
      <c r="A1087" s="103"/>
      <c r="B1087" s="105"/>
      <c r="C1087" s="70"/>
      <c r="D1087" s="62"/>
      <c r="E1087" s="68"/>
      <c r="F1087" s="68"/>
    </row>
    <row r="1088" spans="1:6" x14ac:dyDescent="0.3">
      <c r="A1088" s="103"/>
      <c r="B1088" s="105"/>
      <c r="C1088" s="70"/>
      <c r="D1088" s="62"/>
      <c r="E1088" s="68"/>
      <c r="F1088" s="68"/>
    </row>
    <row r="1089" spans="1:6" x14ac:dyDescent="0.3">
      <c r="A1089" s="103"/>
      <c r="B1089" s="105"/>
      <c r="C1089" s="70"/>
      <c r="D1089" s="62"/>
      <c r="E1089" s="68"/>
      <c r="F1089" s="68"/>
    </row>
    <row r="1090" spans="1:6" x14ac:dyDescent="0.3">
      <c r="A1090" s="103"/>
      <c r="B1090" s="105"/>
      <c r="C1090" s="70"/>
      <c r="D1090" s="62"/>
      <c r="E1090" s="68"/>
      <c r="F1090" s="68"/>
    </row>
    <row r="1091" spans="1:6" x14ac:dyDescent="0.3">
      <c r="A1091" s="103"/>
      <c r="B1091" s="105"/>
      <c r="C1091" s="70"/>
      <c r="D1091" s="62"/>
      <c r="E1091" s="68"/>
      <c r="F1091" s="68"/>
    </row>
    <row r="1092" spans="1:6" x14ac:dyDescent="0.3">
      <c r="A1092" s="103"/>
      <c r="B1092" s="105"/>
      <c r="C1092" s="70"/>
      <c r="D1092" s="62"/>
      <c r="E1092" s="68"/>
      <c r="F1092" s="68"/>
    </row>
    <row r="1093" spans="1:6" x14ac:dyDescent="0.3">
      <c r="A1093" s="103"/>
      <c r="B1093" s="105"/>
      <c r="C1093" s="70"/>
      <c r="D1093" s="62"/>
      <c r="E1093" s="68"/>
      <c r="F1093" s="68"/>
    </row>
    <row r="1094" spans="1:6" x14ac:dyDescent="0.3">
      <c r="A1094" s="103"/>
      <c r="B1094" s="105"/>
      <c r="C1094" s="70"/>
      <c r="D1094" s="62"/>
      <c r="E1094" s="68"/>
      <c r="F1094" s="68"/>
    </row>
    <row r="1095" spans="1:6" x14ac:dyDescent="0.3">
      <c r="A1095" s="103"/>
      <c r="B1095" s="105"/>
      <c r="C1095" s="70"/>
      <c r="D1095" s="62"/>
      <c r="E1095" s="68"/>
      <c r="F1095" s="68"/>
    </row>
    <row r="1096" spans="1:6" x14ac:dyDescent="0.3">
      <c r="A1096" s="103"/>
      <c r="B1096" s="105"/>
      <c r="C1096" s="70"/>
      <c r="D1096" s="62"/>
      <c r="E1096" s="68"/>
      <c r="F1096" s="68"/>
    </row>
    <row r="1097" spans="1:6" x14ac:dyDescent="0.3">
      <c r="A1097" s="103"/>
      <c r="B1097" s="105"/>
      <c r="C1097" s="70"/>
      <c r="D1097" s="62"/>
      <c r="E1097" s="68"/>
      <c r="F1097" s="68"/>
    </row>
    <row r="1098" spans="1:6" x14ac:dyDescent="0.3">
      <c r="A1098" s="103"/>
      <c r="B1098" s="105"/>
      <c r="C1098" s="70"/>
      <c r="D1098" s="62"/>
      <c r="E1098" s="68"/>
      <c r="F1098" s="68"/>
    </row>
    <row r="1099" spans="1:6" x14ac:dyDescent="0.3">
      <c r="A1099" s="103"/>
      <c r="B1099" s="105"/>
      <c r="C1099" s="70"/>
      <c r="D1099" s="62"/>
      <c r="E1099" s="68"/>
      <c r="F1099" s="68"/>
    </row>
    <row r="1100" spans="1:6" x14ac:dyDescent="0.3">
      <c r="A1100" s="103"/>
      <c r="B1100" s="105"/>
      <c r="C1100" s="70"/>
      <c r="D1100" s="62"/>
      <c r="E1100" s="68"/>
      <c r="F1100" s="68"/>
    </row>
    <row r="1101" spans="1:6" x14ac:dyDescent="0.3">
      <c r="A1101" s="103"/>
      <c r="B1101" s="105"/>
      <c r="C1101" s="70"/>
      <c r="D1101" s="62"/>
      <c r="E1101" s="68"/>
      <c r="F1101" s="68"/>
    </row>
    <row r="1102" spans="1:6" x14ac:dyDescent="0.3">
      <c r="A1102" s="103"/>
      <c r="B1102" s="105"/>
      <c r="C1102" s="70"/>
      <c r="D1102" s="62"/>
      <c r="E1102" s="68"/>
      <c r="F1102" s="68"/>
    </row>
    <row r="1103" spans="1:6" x14ac:dyDescent="0.3">
      <c r="A1103" s="103"/>
      <c r="B1103" s="105"/>
      <c r="C1103" s="70"/>
      <c r="D1103" s="62"/>
      <c r="E1103" s="68"/>
      <c r="F1103" s="68"/>
    </row>
    <row r="1104" spans="1:6" x14ac:dyDescent="0.3">
      <c r="A1104" s="103"/>
      <c r="B1104" s="105"/>
      <c r="C1104" s="70"/>
      <c r="D1104" s="62"/>
      <c r="E1104" s="68"/>
      <c r="F1104" s="68"/>
    </row>
    <row r="1105" spans="1:6" x14ac:dyDescent="0.3">
      <c r="A1105" s="103"/>
      <c r="B1105" s="105"/>
      <c r="C1105" s="70"/>
      <c r="D1105" s="62"/>
      <c r="E1105" s="68"/>
      <c r="F1105" s="68"/>
    </row>
    <row r="1106" spans="1:6" x14ac:dyDescent="0.3">
      <c r="A1106" s="103"/>
      <c r="B1106" s="105"/>
      <c r="C1106" s="70"/>
      <c r="D1106" s="62"/>
      <c r="E1106" s="68"/>
      <c r="F1106" s="68"/>
    </row>
    <row r="1107" spans="1:6" x14ac:dyDescent="0.3">
      <c r="A1107" s="103"/>
      <c r="B1107" s="105"/>
      <c r="C1107" s="70"/>
      <c r="D1107" s="62"/>
      <c r="E1107" s="68"/>
      <c r="F1107" s="68"/>
    </row>
    <row r="1108" spans="1:6" x14ac:dyDescent="0.3">
      <c r="A1108" s="103"/>
      <c r="B1108" s="105"/>
      <c r="C1108" s="70"/>
      <c r="D1108" s="62"/>
      <c r="E1108" s="68"/>
      <c r="F1108" s="68"/>
    </row>
    <row r="1109" spans="1:6" x14ac:dyDescent="0.3">
      <c r="A1109" s="103"/>
      <c r="B1109" s="105"/>
      <c r="C1109" s="70"/>
      <c r="D1109" s="62"/>
      <c r="E1109" s="68"/>
      <c r="F1109" s="68"/>
    </row>
    <row r="1110" spans="1:6" x14ac:dyDescent="0.3">
      <c r="A1110" s="103"/>
      <c r="B1110" s="105"/>
      <c r="C1110" s="70"/>
      <c r="D1110" s="62"/>
      <c r="E1110" s="68"/>
      <c r="F1110" s="68"/>
    </row>
    <row r="1111" spans="1:6" x14ac:dyDescent="0.3">
      <c r="A1111" s="103"/>
      <c r="B1111" s="105"/>
      <c r="C1111" s="70"/>
      <c r="D1111" s="62"/>
      <c r="E1111" s="68"/>
      <c r="F1111" s="68"/>
    </row>
    <row r="1112" spans="1:6" x14ac:dyDescent="0.3">
      <c r="A1112" s="103"/>
      <c r="B1112" s="105"/>
      <c r="C1112" s="70"/>
      <c r="D1112" s="62"/>
      <c r="E1112" s="68"/>
      <c r="F1112" s="68"/>
    </row>
    <row r="1113" spans="1:6" x14ac:dyDescent="0.3">
      <c r="A1113" s="103"/>
      <c r="B1113" s="105"/>
      <c r="C1113" s="70"/>
      <c r="D1113" s="62"/>
      <c r="E1113" s="68"/>
      <c r="F1113" s="68"/>
    </row>
    <row r="1114" spans="1:6" x14ac:dyDescent="0.3">
      <c r="A1114" s="103"/>
      <c r="B1114" s="105"/>
      <c r="C1114" s="70"/>
      <c r="D1114" s="62"/>
      <c r="E1114" s="68"/>
      <c r="F1114" s="68"/>
    </row>
    <row r="1115" spans="1:6" x14ac:dyDescent="0.3">
      <c r="A1115" s="103"/>
      <c r="B1115" s="105"/>
      <c r="C1115" s="70"/>
      <c r="D1115" s="62"/>
      <c r="E1115" s="68"/>
      <c r="F1115" s="68"/>
    </row>
    <row r="1116" spans="1:6" x14ac:dyDescent="0.3">
      <c r="A1116" s="103"/>
      <c r="B1116" s="105"/>
      <c r="C1116" s="70"/>
      <c r="D1116" s="62"/>
      <c r="E1116" s="68"/>
      <c r="F1116" s="68"/>
    </row>
    <row r="1117" spans="1:6" x14ac:dyDescent="0.3">
      <c r="A1117" s="103"/>
      <c r="B1117" s="105"/>
      <c r="C1117" s="70"/>
      <c r="D1117" s="62"/>
      <c r="E1117" s="68"/>
      <c r="F1117" s="68"/>
    </row>
    <row r="1118" spans="1:6" x14ac:dyDescent="0.3">
      <c r="A1118" s="103"/>
      <c r="B1118" s="105"/>
      <c r="C1118" s="70"/>
      <c r="D1118" s="62"/>
      <c r="E1118" s="68"/>
      <c r="F1118" s="68"/>
    </row>
    <row r="1119" spans="1:6" x14ac:dyDescent="0.3">
      <c r="A1119" s="103"/>
      <c r="B1119" s="105"/>
      <c r="C1119" s="70"/>
      <c r="D1119" s="62"/>
      <c r="E1119" s="68"/>
      <c r="F1119" s="68"/>
    </row>
    <row r="1120" spans="1:6" x14ac:dyDescent="0.3">
      <c r="A1120" s="103"/>
      <c r="B1120" s="105"/>
      <c r="C1120" s="70"/>
      <c r="D1120" s="62"/>
      <c r="E1120" s="68"/>
      <c r="F1120" s="68"/>
    </row>
    <row r="1121" spans="1:6" x14ac:dyDescent="0.3">
      <c r="A1121" s="103"/>
      <c r="B1121" s="105"/>
      <c r="C1121" s="70"/>
      <c r="D1121" s="62"/>
      <c r="E1121" s="68"/>
      <c r="F1121" s="68"/>
    </row>
    <row r="1122" spans="1:6" x14ac:dyDescent="0.3">
      <c r="A1122" s="103"/>
      <c r="B1122" s="105"/>
      <c r="C1122" s="70"/>
      <c r="D1122" s="62"/>
      <c r="E1122" s="68"/>
      <c r="F1122" s="68"/>
    </row>
    <row r="1123" spans="1:6" x14ac:dyDescent="0.3">
      <c r="A1123" s="103"/>
      <c r="B1123" s="105"/>
      <c r="C1123" s="70"/>
      <c r="D1123" s="62"/>
      <c r="E1123" s="68"/>
      <c r="F1123" s="68"/>
    </row>
    <row r="1124" spans="1:6" x14ac:dyDescent="0.3">
      <c r="A1124" s="103"/>
      <c r="B1124" s="105"/>
      <c r="C1124" s="70"/>
      <c r="D1124" s="62"/>
      <c r="E1124" s="68"/>
      <c r="F1124" s="68"/>
    </row>
    <row r="1125" spans="1:6" x14ac:dyDescent="0.3">
      <c r="A1125" s="103"/>
      <c r="B1125" s="105"/>
      <c r="C1125" s="70"/>
      <c r="D1125" s="62"/>
      <c r="E1125" s="68"/>
      <c r="F1125" s="68"/>
    </row>
    <row r="1126" spans="1:6" x14ac:dyDescent="0.3">
      <c r="A1126" s="103"/>
      <c r="B1126" s="105"/>
      <c r="C1126" s="70"/>
      <c r="D1126" s="62"/>
      <c r="E1126" s="68"/>
      <c r="F1126" s="68"/>
    </row>
    <row r="1127" spans="1:6" x14ac:dyDescent="0.3">
      <c r="A1127" s="103"/>
      <c r="B1127" s="105"/>
      <c r="C1127" s="70"/>
      <c r="D1127" s="62"/>
      <c r="E1127" s="68"/>
      <c r="F1127" s="68"/>
    </row>
    <row r="1128" spans="1:6" x14ac:dyDescent="0.3">
      <c r="A1128" s="103"/>
      <c r="B1128" s="105"/>
      <c r="C1128" s="70"/>
      <c r="D1128" s="62"/>
      <c r="E1128" s="68"/>
      <c r="F1128" s="68"/>
    </row>
    <row r="1129" spans="1:6" x14ac:dyDescent="0.3">
      <c r="A1129" s="103"/>
      <c r="B1129" s="105"/>
      <c r="C1129" s="70"/>
      <c r="D1129" s="62"/>
      <c r="E1129" s="68"/>
      <c r="F1129" s="68"/>
    </row>
    <row r="1130" spans="1:6" x14ac:dyDescent="0.3">
      <c r="A1130" s="103"/>
      <c r="B1130" s="105"/>
      <c r="C1130" s="70"/>
      <c r="D1130" s="62"/>
      <c r="E1130" s="68"/>
      <c r="F1130" s="68"/>
    </row>
    <row r="1131" spans="1:6" x14ac:dyDescent="0.3">
      <c r="A1131" s="103"/>
      <c r="B1131" s="105"/>
      <c r="C1131" s="70"/>
      <c r="D1131" s="62"/>
      <c r="E1131" s="68"/>
      <c r="F1131" s="68"/>
    </row>
    <row r="1132" spans="1:6" x14ac:dyDescent="0.3">
      <c r="A1132" s="103"/>
      <c r="B1132" s="105"/>
      <c r="C1132" s="70"/>
      <c r="D1132" s="62"/>
      <c r="E1132" s="68"/>
      <c r="F1132" s="68"/>
    </row>
    <row r="1133" spans="1:6" x14ac:dyDescent="0.3">
      <c r="A1133" s="103"/>
      <c r="B1133" s="105"/>
      <c r="C1133" s="70"/>
      <c r="D1133" s="62"/>
      <c r="E1133" s="68"/>
      <c r="F1133" s="68"/>
    </row>
    <row r="1134" spans="1:6" x14ac:dyDescent="0.3">
      <c r="A1134" s="103"/>
      <c r="B1134" s="105"/>
      <c r="C1134" s="70"/>
      <c r="D1134" s="62"/>
      <c r="E1134" s="68"/>
      <c r="F1134" s="68"/>
    </row>
    <row r="1135" spans="1:6" x14ac:dyDescent="0.3">
      <c r="A1135" s="103"/>
      <c r="B1135" s="105"/>
      <c r="C1135" s="70"/>
      <c r="D1135" s="62"/>
      <c r="E1135" s="68"/>
      <c r="F1135" s="68"/>
    </row>
    <row r="1136" spans="1:6" x14ac:dyDescent="0.3">
      <c r="A1136" s="103"/>
      <c r="B1136" s="105"/>
      <c r="C1136" s="70"/>
      <c r="D1136" s="62"/>
      <c r="E1136" s="68"/>
      <c r="F1136" s="68"/>
    </row>
    <row r="1137" spans="1:6" x14ac:dyDescent="0.3">
      <c r="A1137" s="103"/>
      <c r="B1137" s="105"/>
      <c r="C1137" s="70"/>
      <c r="D1137" s="62"/>
      <c r="E1137" s="68"/>
      <c r="F1137" s="68"/>
    </row>
    <row r="1138" spans="1:6" x14ac:dyDescent="0.3">
      <c r="A1138" s="103"/>
      <c r="B1138" s="105"/>
      <c r="C1138" s="70"/>
      <c r="D1138" s="62"/>
      <c r="E1138" s="68"/>
      <c r="F1138" s="68"/>
    </row>
    <row r="1139" spans="1:6" x14ac:dyDescent="0.3">
      <c r="A1139" s="103"/>
      <c r="B1139" s="105"/>
      <c r="C1139" s="70"/>
      <c r="D1139" s="62"/>
      <c r="E1139" s="68"/>
      <c r="F1139" s="68"/>
    </row>
    <row r="1140" spans="1:6" x14ac:dyDescent="0.3">
      <c r="A1140" s="103"/>
      <c r="B1140" s="105"/>
      <c r="C1140" s="70"/>
      <c r="D1140" s="62"/>
      <c r="E1140" s="68"/>
      <c r="F1140" s="68"/>
    </row>
    <row r="1141" spans="1:6" x14ac:dyDescent="0.3">
      <c r="A1141" s="103"/>
      <c r="B1141" s="105"/>
      <c r="C1141" s="70"/>
      <c r="D1141" s="62"/>
      <c r="E1141" s="68"/>
      <c r="F1141" s="68"/>
    </row>
    <row r="1142" spans="1:6" x14ac:dyDescent="0.3">
      <c r="A1142" s="103"/>
      <c r="B1142" s="105"/>
      <c r="C1142" s="70"/>
      <c r="D1142" s="62"/>
      <c r="E1142" s="68"/>
      <c r="F1142" s="68"/>
    </row>
    <row r="1143" spans="1:6" x14ac:dyDescent="0.3">
      <c r="A1143" s="103"/>
      <c r="B1143" s="105"/>
      <c r="C1143" s="70"/>
      <c r="D1143" s="62"/>
      <c r="E1143" s="68"/>
      <c r="F1143" s="68"/>
    </row>
    <row r="1144" spans="1:6" x14ac:dyDescent="0.3">
      <c r="A1144" s="103"/>
      <c r="B1144" s="105"/>
      <c r="C1144" s="70"/>
      <c r="D1144" s="62"/>
      <c r="E1144" s="68"/>
      <c r="F1144" s="68"/>
    </row>
    <row r="1145" spans="1:6" x14ac:dyDescent="0.3">
      <c r="A1145" s="103"/>
      <c r="B1145" s="105"/>
      <c r="C1145" s="70"/>
      <c r="D1145" s="62"/>
      <c r="E1145" s="68"/>
      <c r="F1145" s="68"/>
    </row>
    <row r="1146" spans="1:6" x14ac:dyDescent="0.3">
      <c r="A1146" s="103"/>
      <c r="B1146" s="105"/>
      <c r="C1146" s="70"/>
      <c r="D1146" s="62"/>
      <c r="E1146" s="68"/>
      <c r="F1146" s="68"/>
    </row>
    <row r="1147" spans="1:6" x14ac:dyDescent="0.3">
      <c r="A1147" s="103"/>
      <c r="B1147" s="105"/>
      <c r="C1147" s="70"/>
      <c r="D1147" s="62"/>
      <c r="E1147" s="68"/>
      <c r="F1147" s="68"/>
    </row>
    <row r="1148" spans="1:6" x14ac:dyDescent="0.3">
      <c r="A1148" s="103"/>
      <c r="B1148" s="105"/>
      <c r="C1148" s="70"/>
      <c r="D1148" s="62"/>
      <c r="E1148" s="68"/>
      <c r="F1148" s="68"/>
    </row>
    <row r="1149" spans="1:6" x14ac:dyDescent="0.3">
      <c r="A1149" s="103"/>
      <c r="B1149" s="105"/>
      <c r="C1149" s="70"/>
      <c r="D1149" s="62"/>
      <c r="E1149" s="68"/>
      <c r="F1149" s="68"/>
    </row>
    <row r="1150" spans="1:6" x14ac:dyDescent="0.3">
      <c r="A1150" s="103"/>
      <c r="B1150" s="105"/>
      <c r="C1150" s="70"/>
      <c r="D1150" s="62"/>
      <c r="E1150" s="68"/>
      <c r="F1150" s="68"/>
    </row>
    <row r="1151" spans="1:6" x14ac:dyDescent="0.3">
      <c r="A1151" s="103"/>
      <c r="B1151" s="105"/>
      <c r="C1151" s="70"/>
      <c r="D1151" s="62"/>
      <c r="E1151" s="68"/>
      <c r="F1151" s="68"/>
    </row>
    <row r="1152" spans="1:6" x14ac:dyDescent="0.3">
      <c r="A1152" s="103"/>
      <c r="B1152" s="105"/>
      <c r="C1152" s="70"/>
      <c r="D1152" s="62"/>
      <c r="E1152" s="68"/>
      <c r="F1152" s="68"/>
    </row>
    <row r="1153" spans="1:6" x14ac:dyDescent="0.3">
      <c r="A1153" s="103"/>
      <c r="B1153" s="105"/>
      <c r="C1153" s="70"/>
      <c r="D1153" s="62"/>
      <c r="E1153" s="68"/>
      <c r="F1153" s="68"/>
    </row>
    <row r="1154" spans="1:6" x14ac:dyDescent="0.3">
      <c r="A1154" s="103"/>
      <c r="B1154" s="105"/>
      <c r="C1154" s="70"/>
      <c r="D1154" s="62"/>
      <c r="E1154" s="68"/>
      <c r="F1154" s="68"/>
    </row>
    <row r="1155" spans="1:6" x14ac:dyDescent="0.3">
      <c r="A1155" s="103"/>
      <c r="B1155" s="105"/>
      <c r="C1155" s="70"/>
      <c r="D1155" s="62"/>
      <c r="E1155" s="68"/>
      <c r="F1155" s="68"/>
    </row>
    <row r="1156" spans="1:6" x14ac:dyDescent="0.3">
      <c r="A1156" s="103"/>
      <c r="B1156" s="105"/>
      <c r="C1156" s="70"/>
      <c r="D1156" s="62"/>
      <c r="E1156" s="68"/>
      <c r="F1156" s="68"/>
    </row>
    <row r="1157" spans="1:6" x14ac:dyDescent="0.3">
      <c r="A1157" s="103"/>
      <c r="B1157" s="105"/>
      <c r="C1157" s="70"/>
      <c r="D1157" s="62"/>
      <c r="E1157" s="68"/>
      <c r="F1157" s="68"/>
    </row>
    <row r="1158" spans="1:6" x14ac:dyDescent="0.3">
      <c r="A1158" s="103"/>
      <c r="B1158" s="105"/>
      <c r="C1158" s="70"/>
      <c r="D1158" s="62"/>
      <c r="E1158" s="68"/>
      <c r="F1158" s="68"/>
    </row>
    <row r="1159" spans="1:6" x14ac:dyDescent="0.3">
      <c r="A1159" s="103"/>
      <c r="B1159" s="105"/>
      <c r="C1159" s="70"/>
      <c r="D1159" s="62"/>
      <c r="E1159" s="68"/>
      <c r="F1159" s="68"/>
    </row>
    <row r="1160" spans="1:6" x14ac:dyDescent="0.3">
      <c r="A1160" s="103"/>
      <c r="B1160" s="105"/>
      <c r="C1160" s="70"/>
      <c r="D1160" s="62"/>
      <c r="E1160" s="68"/>
      <c r="F1160" s="68"/>
    </row>
    <row r="1161" spans="1:6" x14ac:dyDescent="0.3">
      <c r="A1161" s="103"/>
      <c r="B1161" s="105"/>
      <c r="C1161" s="70"/>
      <c r="D1161" s="62"/>
      <c r="E1161" s="68"/>
      <c r="F1161" s="68"/>
    </row>
    <row r="1162" spans="1:6" x14ac:dyDescent="0.3">
      <c r="A1162" s="103"/>
      <c r="B1162" s="105"/>
      <c r="C1162" s="70"/>
      <c r="D1162" s="62"/>
      <c r="E1162" s="68"/>
      <c r="F1162" s="68"/>
    </row>
    <row r="1163" spans="1:6" x14ac:dyDescent="0.3">
      <c r="A1163" s="103"/>
      <c r="B1163" s="105"/>
      <c r="C1163" s="70"/>
      <c r="D1163" s="62"/>
      <c r="E1163" s="68"/>
      <c r="F1163" s="68"/>
    </row>
    <row r="1164" spans="1:6" x14ac:dyDescent="0.3">
      <c r="A1164" s="103"/>
      <c r="B1164" s="105"/>
      <c r="C1164" s="70"/>
      <c r="D1164" s="62"/>
      <c r="E1164" s="68"/>
      <c r="F1164" s="68"/>
    </row>
    <row r="1165" spans="1:6" x14ac:dyDescent="0.3">
      <c r="A1165" s="103"/>
      <c r="B1165" s="105"/>
      <c r="C1165" s="70"/>
      <c r="D1165" s="62"/>
      <c r="E1165" s="68"/>
      <c r="F1165" s="68"/>
    </row>
    <row r="1166" spans="1:6" x14ac:dyDescent="0.3">
      <c r="A1166" s="103"/>
      <c r="B1166" s="105"/>
      <c r="C1166" s="70"/>
      <c r="D1166" s="62"/>
      <c r="E1166" s="68"/>
      <c r="F1166" s="68"/>
    </row>
    <row r="1167" spans="1:6" x14ac:dyDescent="0.3">
      <c r="A1167" s="103"/>
      <c r="B1167" s="105"/>
      <c r="C1167" s="70"/>
      <c r="D1167" s="62"/>
      <c r="E1167" s="68"/>
      <c r="F1167" s="68"/>
    </row>
    <row r="1168" spans="1:6" x14ac:dyDescent="0.3">
      <c r="A1168" s="103"/>
      <c r="B1168" s="105"/>
      <c r="C1168" s="70"/>
      <c r="D1168" s="62"/>
      <c r="E1168" s="68"/>
      <c r="F1168" s="68"/>
    </row>
    <row r="1169" spans="1:6" x14ac:dyDescent="0.3">
      <c r="A1169" s="103"/>
      <c r="B1169" s="105"/>
      <c r="C1169" s="70"/>
      <c r="D1169" s="62"/>
      <c r="E1169" s="68"/>
      <c r="F1169" s="68"/>
    </row>
    <row r="1170" spans="1:6" x14ac:dyDescent="0.3">
      <c r="A1170" s="103"/>
      <c r="B1170" s="105"/>
      <c r="C1170" s="70"/>
      <c r="D1170" s="62"/>
      <c r="E1170" s="68"/>
      <c r="F1170" s="68"/>
    </row>
    <row r="1171" spans="1:6" x14ac:dyDescent="0.3">
      <c r="A1171" s="103"/>
      <c r="B1171" s="105"/>
      <c r="C1171" s="70"/>
      <c r="D1171" s="62"/>
      <c r="E1171" s="68"/>
      <c r="F1171" s="68"/>
    </row>
    <row r="1172" spans="1:6" x14ac:dyDescent="0.3">
      <c r="A1172" s="103"/>
      <c r="B1172" s="105"/>
      <c r="C1172" s="70"/>
      <c r="D1172" s="62"/>
      <c r="E1172" s="68"/>
      <c r="F1172" s="68"/>
    </row>
    <row r="1173" spans="1:6" x14ac:dyDescent="0.3">
      <c r="A1173" s="103"/>
      <c r="B1173" s="105"/>
      <c r="C1173" s="70"/>
      <c r="D1173" s="62"/>
      <c r="E1173" s="68"/>
      <c r="F1173" s="68"/>
    </row>
    <row r="1174" spans="1:6" x14ac:dyDescent="0.3">
      <c r="A1174" s="103"/>
      <c r="B1174" s="105"/>
      <c r="C1174" s="70"/>
      <c r="D1174" s="62"/>
      <c r="E1174" s="68"/>
      <c r="F1174" s="68"/>
    </row>
    <row r="1175" spans="1:6" x14ac:dyDescent="0.3">
      <c r="A1175" s="103"/>
      <c r="B1175" s="105"/>
      <c r="C1175" s="70"/>
      <c r="D1175" s="62"/>
      <c r="E1175" s="68"/>
      <c r="F1175" s="68"/>
    </row>
    <row r="1176" spans="1:6" x14ac:dyDescent="0.3">
      <c r="A1176" s="103"/>
      <c r="B1176" s="105"/>
      <c r="C1176" s="70"/>
      <c r="D1176" s="62"/>
      <c r="E1176" s="68"/>
      <c r="F1176" s="68"/>
    </row>
    <row r="1177" spans="1:6" x14ac:dyDescent="0.3">
      <c r="A1177" s="103"/>
      <c r="B1177" s="105"/>
      <c r="C1177" s="70"/>
      <c r="D1177" s="62"/>
      <c r="E1177" s="68"/>
      <c r="F1177" s="68"/>
    </row>
    <row r="1178" spans="1:6" x14ac:dyDescent="0.3">
      <c r="A1178" s="103"/>
      <c r="B1178" s="105"/>
      <c r="C1178" s="70"/>
      <c r="D1178" s="62"/>
      <c r="E1178" s="68"/>
      <c r="F1178" s="68"/>
    </row>
    <row r="1179" spans="1:6" x14ac:dyDescent="0.3">
      <c r="A1179" s="103"/>
      <c r="B1179" s="105"/>
      <c r="C1179" s="70"/>
      <c r="D1179" s="62"/>
      <c r="E1179" s="68"/>
      <c r="F1179" s="68"/>
    </row>
    <row r="1180" spans="1:6" x14ac:dyDescent="0.3">
      <c r="A1180" s="103"/>
      <c r="B1180" s="105"/>
      <c r="C1180" s="70"/>
      <c r="D1180" s="62"/>
      <c r="E1180" s="68"/>
      <c r="F1180" s="68"/>
    </row>
    <row r="1181" spans="1:6" x14ac:dyDescent="0.3">
      <c r="A1181" s="103"/>
      <c r="B1181" s="105"/>
      <c r="C1181" s="70"/>
      <c r="D1181" s="62"/>
      <c r="E1181" s="68"/>
      <c r="F1181" s="68"/>
    </row>
    <row r="1182" spans="1:6" x14ac:dyDescent="0.3">
      <c r="A1182" s="103"/>
      <c r="B1182" s="105"/>
      <c r="C1182" s="70"/>
      <c r="D1182" s="62"/>
      <c r="E1182" s="68"/>
      <c r="F1182" s="68"/>
    </row>
    <row r="1183" spans="1:6" x14ac:dyDescent="0.3">
      <c r="A1183" s="103"/>
      <c r="B1183" s="105"/>
      <c r="C1183" s="70"/>
      <c r="D1183" s="62"/>
      <c r="E1183" s="68"/>
      <c r="F1183" s="68"/>
    </row>
    <row r="1184" spans="1:6" x14ac:dyDescent="0.3">
      <c r="A1184" s="103"/>
      <c r="B1184" s="105"/>
      <c r="C1184" s="70"/>
      <c r="D1184" s="62"/>
      <c r="E1184" s="68"/>
      <c r="F1184" s="68"/>
    </row>
    <row r="1185" spans="1:6" x14ac:dyDescent="0.3">
      <c r="A1185" s="103"/>
      <c r="B1185" s="105"/>
      <c r="C1185" s="70"/>
      <c r="D1185" s="62"/>
      <c r="E1185" s="68"/>
      <c r="F1185" s="68"/>
    </row>
    <row r="1186" spans="1:6" x14ac:dyDescent="0.3">
      <c r="A1186" s="103"/>
      <c r="B1186" s="105"/>
      <c r="C1186" s="70"/>
      <c r="D1186" s="62"/>
      <c r="E1186" s="68"/>
      <c r="F1186" s="68"/>
    </row>
    <row r="1187" spans="1:6" x14ac:dyDescent="0.3">
      <c r="A1187" s="103"/>
      <c r="B1187" s="105"/>
      <c r="C1187" s="70"/>
      <c r="D1187" s="62"/>
      <c r="E1187" s="68"/>
      <c r="F1187" s="68"/>
    </row>
    <row r="1188" spans="1:6" x14ac:dyDescent="0.3">
      <c r="A1188" s="103"/>
      <c r="B1188" s="105"/>
      <c r="C1188" s="70"/>
      <c r="D1188" s="62"/>
      <c r="E1188" s="68"/>
      <c r="F1188" s="68"/>
    </row>
    <row r="1189" spans="1:6" x14ac:dyDescent="0.3">
      <c r="A1189" s="103"/>
      <c r="B1189" s="105"/>
      <c r="C1189" s="70"/>
      <c r="D1189" s="62"/>
      <c r="E1189" s="68"/>
      <c r="F1189" s="68"/>
    </row>
    <row r="1190" spans="1:6" x14ac:dyDescent="0.3">
      <c r="A1190" s="103"/>
      <c r="B1190" s="105"/>
      <c r="C1190" s="70"/>
      <c r="D1190" s="62"/>
      <c r="E1190" s="68"/>
      <c r="F1190" s="68"/>
    </row>
    <row r="1191" spans="1:6" x14ac:dyDescent="0.3">
      <c r="A1191" s="103"/>
      <c r="B1191" s="105"/>
      <c r="C1191" s="70"/>
      <c r="D1191" s="62"/>
      <c r="E1191" s="68"/>
      <c r="F1191" s="68"/>
    </row>
    <row r="1192" spans="1:6" x14ac:dyDescent="0.3">
      <c r="A1192" s="103"/>
      <c r="B1192" s="105"/>
      <c r="C1192" s="70"/>
      <c r="D1192" s="62"/>
      <c r="E1192" s="68"/>
      <c r="F1192" s="68"/>
    </row>
    <row r="1193" spans="1:6" x14ac:dyDescent="0.3">
      <c r="A1193" s="103"/>
      <c r="B1193" s="105"/>
      <c r="C1193" s="70"/>
      <c r="D1193" s="62"/>
      <c r="E1193" s="68"/>
      <c r="F1193" s="68"/>
    </row>
    <row r="1194" spans="1:6" x14ac:dyDescent="0.3">
      <c r="A1194" s="103"/>
      <c r="B1194" s="105"/>
      <c r="C1194" s="70"/>
      <c r="D1194" s="62"/>
      <c r="E1194" s="68"/>
      <c r="F1194" s="68"/>
    </row>
    <row r="1195" spans="1:6" x14ac:dyDescent="0.3">
      <c r="A1195" s="103"/>
      <c r="B1195" s="105"/>
      <c r="C1195" s="70"/>
      <c r="D1195" s="62"/>
      <c r="E1195" s="68"/>
      <c r="F1195" s="68"/>
    </row>
    <row r="1196" spans="1:6" x14ac:dyDescent="0.3">
      <c r="A1196" s="103"/>
      <c r="B1196" s="105"/>
      <c r="C1196" s="70"/>
      <c r="D1196" s="62"/>
      <c r="E1196" s="68"/>
      <c r="F1196" s="68"/>
    </row>
    <row r="1197" spans="1:6" x14ac:dyDescent="0.3">
      <c r="A1197" s="103"/>
      <c r="B1197" s="105"/>
      <c r="C1197" s="70"/>
      <c r="D1197" s="62"/>
      <c r="E1197" s="68"/>
      <c r="F1197" s="68"/>
    </row>
    <row r="1198" spans="1:6" x14ac:dyDescent="0.3">
      <c r="A1198" s="103"/>
      <c r="B1198" s="105"/>
      <c r="C1198" s="70"/>
      <c r="D1198" s="62"/>
      <c r="E1198" s="68"/>
      <c r="F1198" s="68"/>
    </row>
    <row r="1199" spans="1:6" x14ac:dyDescent="0.3">
      <c r="A1199" s="103"/>
      <c r="B1199" s="105"/>
      <c r="C1199" s="70"/>
      <c r="D1199" s="62"/>
      <c r="E1199" s="68"/>
      <c r="F1199" s="68"/>
    </row>
    <row r="1200" spans="1:6" x14ac:dyDescent="0.3">
      <c r="A1200" s="103"/>
      <c r="B1200" s="105"/>
      <c r="C1200" s="70"/>
      <c r="D1200" s="62"/>
      <c r="E1200" s="68"/>
      <c r="F1200" s="68"/>
    </row>
    <row r="1201" spans="1:6" x14ac:dyDescent="0.3">
      <c r="A1201" s="103"/>
      <c r="B1201" s="105"/>
      <c r="C1201" s="70"/>
      <c r="D1201" s="62"/>
      <c r="E1201" s="68"/>
      <c r="F1201" s="68"/>
    </row>
    <row r="1202" spans="1:6" x14ac:dyDescent="0.3">
      <c r="A1202" s="103"/>
      <c r="B1202" s="105"/>
      <c r="C1202" s="70"/>
      <c r="D1202" s="62"/>
      <c r="E1202" s="68"/>
      <c r="F1202" s="68"/>
    </row>
    <row r="1203" spans="1:6" x14ac:dyDescent="0.3">
      <c r="A1203" s="103"/>
      <c r="B1203" s="105"/>
      <c r="C1203" s="70"/>
      <c r="D1203" s="62"/>
      <c r="E1203" s="68"/>
      <c r="F1203" s="68"/>
    </row>
    <row r="1204" spans="1:6" x14ac:dyDescent="0.3">
      <c r="A1204" s="103"/>
      <c r="B1204" s="105"/>
      <c r="C1204" s="70"/>
      <c r="D1204" s="62"/>
      <c r="E1204" s="68"/>
      <c r="F1204" s="68"/>
    </row>
    <row r="1205" spans="1:6" x14ac:dyDescent="0.3">
      <c r="A1205" s="103"/>
      <c r="B1205" s="105"/>
      <c r="C1205" s="70"/>
      <c r="D1205" s="62"/>
      <c r="E1205" s="68"/>
      <c r="F1205" s="68"/>
    </row>
    <row r="1206" spans="1:6" x14ac:dyDescent="0.3">
      <c r="A1206" s="103"/>
      <c r="B1206" s="105"/>
      <c r="C1206" s="70"/>
      <c r="D1206" s="62"/>
      <c r="E1206" s="68"/>
      <c r="F1206" s="68"/>
    </row>
    <row r="1207" spans="1:6" x14ac:dyDescent="0.3">
      <c r="A1207" s="103"/>
      <c r="B1207" s="105"/>
      <c r="C1207" s="70"/>
      <c r="D1207" s="62"/>
      <c r="E1207" s="68"/>
      <c r="F1207" s="68"/>
    </row>
    <row r="1208" spans="1:6" x14ac:dyDescent="0.3">
      <c r="A1208" s="103"/>
      <c r="B1208" s="105"/>
      <c r="C1208" s="70"/>
      <c r="D1208" s="62"/>
      <c r="E1208" s="68"/>
      <c r="F1208" s="68"/>
    </row>
    <row r="1209" spans="1:6" x14ac:dyDescent="0.3">
      <c r="A1209" s="103"/>
      <c r="B1209" s="105"/>
      <c r="C1209" s="70"/>
      <c r="D1209" s="62"/>
      <c r="E1209" s="68"/>
      <c r="F1209" s="68"/>
    </row>
    <row r="1210" spans="1:6" x14ac:dyDescent="0.3">
      <c r="A1210" s="103"/>
      <c r="B1210" s="105"/>
      <c r="C1210" s="70"/>
      <c r="D1210" s="62"/>
      <c r="E1210" s="68"/>
      <c r="F1210" s="68"/>
    </row>
    <row r="1211" spans="1:6" x14ac:dyDescent="0.3">
      <c r="A1211" s="103"/>
      <c r="B1211" s="105"/>
      <c r="C1211" s="70"/>
      <c r="D1211" s="62"/>
      <c r="E1211" s="68"/>
      <c r="F1211" s="68"/>
    </row>
    <row r="1212" spans="1:6" x14ac:dyDescent="0.3">
      <c r="A1212" s="103"/>
      <c r="B1212" s="105"/>
      <c r="C1212" s="70"/>
      <c r="D1212" s="62"/>
      <c r="E1212" s="68"/>
      <c r="F1212" s="68"/>
    </row>
    <row r="1213" spans="1:6" x14ac:dyDescent="0.3">
      <c r="A1213" s="103"/>
      <c r="B1213" s="105"/>
      <c r="C1213" s="70"/>
      <c r="D1213" s="62"/>
      <c r="E1213" s="68"/>
      <c r="F1213" s="68"/>
    </row>
    <row r="1214" spans="1:6" x14ac:dyDescent="0.3">
      <c r="A1214" s="103"/>
      <c r="B1214" s="105"/>
      <c r="C1214" s="70"/>
      <c r="D1214" s="62"/>
      <c r="E1214" s="68"/>
      <c r="F1214" s="68"/>
    </row>
    <row r="1215" spans="1:6" x14ac:dyDescent="0.3">
      <c r="A1215" s="103"/>
      <c r="B1215" s="105"/>
      <c r="C1215" s="70"/>
      <c r="D1215" s="62"/>
      <c r="E1215" s="68"/>
      <c r="F1215" s="68"/>
    </row>
    <row r="1216" spans="1:6" x14ac:dyDescent="0.3">
      <c r="A1216" s="103"/>
      <c r="B1216" s="105"/>
      <c r="C1216" s="70"/>
      <c r="D1216" s="62"/>
      <c r="E1216" s="68"/>
      <c r="F1216" s="68"/>
    </row>
    <row r="1217" spans="1:6" x14ac:dyDescent="0.3">
      <c r="A1217" s="103"/>
      <c r="B1217" s="105"/>
      <c r="C1217" s="70"/>
      <c r="D1217" s="62"/>
      <c r="E1217" s="68"/>
      <c r="F1217" s="68"/>
    </row>
    <row r="1218" spans="1:6" x14ac:dyDescent="0.3">
      <c r="A1218" s="103"/>
      <c r="B1218" s="105"/>
      <c r="C1218" s="70"/>
      <c r="D1218" s="62"/>
      <c r="E1218" s="68"/>
      <c r="F1218" s="68"/>
    </row>
    <row r="1219" spans="1:6" x14ac:dyDescent="0.3">
      <c r="A1219" s="103"/>
      <c r="B1219" s="105"/>
      <c r="C1219" s="70"/>
      <c r="D1219" s="62"/>
      <c r="E1219" s="68"/>
      <c r="F1219" s="68"/>
    </row>
    <row r="1220" spans="1:6" x14ac:dyDescent="0.3">
      <c r="A1220" s="103"/>
      <c r="B1220" s="105"/>
      <c r="C1220" s="70"/>
      <c r="D1220" s="62"/>
      <c r="E1220" s="68"/>
      <c r="F1220" s="68"/>
    </row>
    <row r="1221" spans="1:6" x14ac:dyDescent="0.3">
      <c r="A1221" s="103"/>
      <c r="B1221" s="105"/>
      <c r="C1221" s="70"/>
      <c r="D1221" s="62"/>
      <c r="E1221" s="68"/>
      <c r="F1221" s="68"/>
    </row>
    <row r="1222" spans="1:6" x14ac:dyDescent="0.3">
      <c r="A1222" s="103"/>
      <c r="B1222" s="105"/>
      <c r="C1222" s="70"/>
      <c r="D1222" s="62"/>
      <c r="E1222" s="68"/>
      <c r="F1222" s="68"/>
    </row>
    <row r="1223" spans="1:6" x14ac:dyDescent="0.3">
      <c r="A1223" s="103"/>
      <c r="B1223" s="105"/>
      <c r="C1223" s="70"/>
      <c r="D1223" s="62"/>
      <c r="E1223" s="68"/>
      <c r="F1223" s="68"/>
    </row>
    <row r="1224" spans="1:6" x14ac:dyDescent="0.3">
      <c r="A1224" s="103"/>
      <c r="B1224" s="105"/>
      <c r="C1224" s="70"/>
      <c r="D1224" s="62"/>
      <c r="E1224" s="68"/>
      <c r="F1224" s="68"/>
    </row>
    <row r="1225" spans="1:6" x14ac:dyDescent="0.3">
      <c r="A1225" s="103"/>
      <c r="B1225" s="105"/>
      <c r="C1225" s="70"/>
      <c r="D1225" s="62"/>
      <c r="E1225" s="68"/>
      <c r="F1225" s="68"/>
    </row>
    <row r="1226" spans="1:6" x14ac:dyDescent="0.3">
      <c r="A1226" s="103"/>
      <c r="B1226" s="105"/>
      <c r="C1226" s="70"/>
      <c r="D1226" s="62"/>
      <c r="E1226" s="68"/>
      <c r="F1226" s="68"/>
    </row>
    <row r="1227" spans="1:6" x14ac:dyDescent="0.3">
      <c r="A1227" s="103"/>
      <c r="B1227" s="105"/>
      <c r="C1227" s="70"/>
      <c r="D1227" s="62"/>
      <c r="E1227" s="68"/>
      <c r="F1227" s="68"/>
    </row>
    <row r="1228" spans="1:6" x14ac:dyDescent="0.3">
      <c r="A1228" s="103"/>
      <c r="B1228" s="105"/>
      <c r="C1228" s="70"/>
      <c r="D1228" s="62"/>
      <c r="E1228" s="68"/>
      <c r="F1228" s="68"/>
    </row>
    <row r="1229" spans="1:6" x14ac:dyDescent="0.3">
      <c r="A1229" s="103"/>
      <c r="B1229" s="105"/>
      <c r="C1229" s="70"/>
      <c r="D1229" s="62"/>
      <c r="E1229" s="68"/>
      <c r="F1229" s="68"/>
    </row>
    <row r="1230" spans="1:6" x14ac:dyDescent="0.3">
      <c r="A1230" s="103"/>
      <c r="B1230" s="105"/>
      <c r="C1230" s="70"/>
      <c r="D1230" s="62"/>
      <c r="E1230" s="68"/>
      <c r="F1230" s="68"/>
    </row>
    <row r="1231" spans="1:6" x14ac:dyDescent="0.3">
      <c r="A1231" s="103"/>
      <c r="B1231" s="105"/>
      <c r="C1231" s="70"/>
      <c r="D1231" s="62"/>
      <c r="E1231" s="68"/>
      <c r="F1231" s="68"/>
    </row>
    <row r="1232" spans="1:6" x14ac:dyDescent="0.3">
      <c r="A1232" s="103"/>
      <c r="B1232" s="105"/>
      <c r="C1232" s="70"/>
      <c r="D1232" s="62"/>
      <c r="E1232" s="68"/>
      <c r="F1232" s="68"/>
    </row>
    <row r="1233" spans="1:6" x14ac:dyDescent="0.3">
      <c r="A1233" s="103"/>
      <c r="B1233" s="105"/>
      <c r="C1233" s="70"/>
      <c r="D1233" s="62"/>
      <c r="E1233" s="68"/>
      <c r="F1233" s="68"/>
    </row>
    <row r="1234" spans="1:6" x14ac:dyDescent="0.3">
      <c r="A1234" s="103"/>
      <c r="B1234" s="105"/>
      <c r="C1234" s="70"/>
      <c r="D1234" s="62"/>
      <c r="E1234" s="68"/>
      <c r="F1234" s="68"/>
    </row>
    <row r="1235" spans="1:6" x14ac:dyDescent="0.3">
      <c r="A1235" s="103"/>
      <c r="B1235" s="105"/>
      <c r="C1235" s="70"/>
      <c r="D1235" s="62"/>
      <c r="E1235" s="68"/>
      <c r="F1235" s="68"/>
    </row>
    <row r="1236" spans="1:6" x14ac:dyDescent="0.3">
      <c r="A1236" s="103"/>
      <c r="B1236" s="105"/>
      <c r="C1236" s="70"/>
      <c r="D1236" s="62"/>
      <c r="E1236" s="68"/>
      <c r="F1236" s="68"/>
    </row>
    <row r="1237" spans="1:6" x14ac:dyDescent="0.3">
      <c r="A1237" s="103"/>
      <c r="B1237" s="105"/>
      <c r="C1237" s="70"/>
      <c r="D1237" s="62"/>
      <c r="E1237" s="68"/>
      <c r="F1237" s="68"/>
    </row>
    <row r="1238" spans="1:6" x14ac:dyDescent="0.3">
      <c r="A1238" s="103"/>
      <c r="B1238" s="105"/>
      <c r="C1238" s="70"/>
      <c r="D1238" s="62"/>
      <c r="E1238" s="68"/>
      <c r="F1238" s="68"/>
    </row>
    <row r="1239" spans="1:6" x14ac:dyDescent="0.3">
      <c r="A1239" s="103"/>
      <c r="B1239" s="105"/>
      <c r="C1239" s="70"/>
      <c r="D1239" s="62"/>
      <c r="E1239" s="68"/>
      <c r="F1239" s="68"/>
    </row>
    <row r="1240" spans="1:6" x14ac:dyDescent="0.3">
      <c r="A1240" s="103"/>
      <c r="B1240" s="105"/>
      <c r="C1240" s="70"/>
      <c r="D1240" s="62"/>
      <c r="E1240" s="68"/>
      <c r="F1240" s="68"/>
    </row>
    <row r="1241" spans="1:6" x14ac:dyDescent="0.3">
      <c r="A1241" s="103"/>
      <c r="B1241" s="105"/>
      <c r="C1241" s="70"/>
      <c r="D1241" s="62"/>
      <c r="E1241" s="68"/>
      <c r="F1241" s="68"/>
    </row>
    <row r="1242" spans="1:6" x14ac:dyDescent="0.3">
      <c r="A1242" s="103"/>
      <c r="B1242" s="105"/>
      <c r="C1242" s="70"/>
      <c r="D1242" s="62"/>
      <c r="E1242" s="68"/>
      <c r="F1242" s="68"/>
    </row>
    <row r="1243" spans="1:6" x14ac:dyDescent="0.3">
      <c r="A1243" s="103"/>
      <c r="B1243" s="105"/>
      <c r="C1243" s="70"/>
      <c r="D1243" s="62"/>
      <c r="E1243" s="68"/>
      <c r="F1243" s="68"/>
    </row>
    <row r="1244" spans="1:6" x14ac:dyDescent="0.3">
      <c r="A1244" s="103"/>
      <c r="B1244" s="105"/>
      <c r="C1244" s="70"/>
      <c r="D1244" s="62"/>
      <c r="E1244" s="68"/>
      <c r="F1244" s="68"/>
    </row>
    <row r="1245" spans="1:6" x14ac:dyDescent="0.3">
      <c r="A1245" s="103"/>
      <c r="B1245" s="105"/>
      <c r="C1245" s="70"/>
      <c r="D1245" s="62"/>
      <c r="E1245" s="68"/>
      <c r="F1245" s="68"/>
    </row>
    <row r="1246" spans="1:6" x14ac:dyDescent="0.3">
      <c r="A1246" s="103"/>
      <c r="B1246" s="105"/>
      <c r="C1246" s="70"/>
      <c r="D1246" s="62"/>
      <c r="E1246" s="68"/>
      <c r="F1246" s="68"/>
    </row>
    <row r="1247" spans="1:6" x14ac:dyDescent="0.3">
      <c r="A1247" s="103"/>
      <c r="B1247" s="105"/>
      <c r="C1247" s="70"/>
      <c r="D1247" s="62"/>
      <c r="E1247" s="68"/>
      <c r="F1247" s="68"/>
    </row>
    <row r="1248" spans="1:6" x14ac:dyDescent="0.3">
      <c r="A1248" s="103"/>
      <c r="B1248" s="105"/>
      <c r="C1248" s="70"/>
      <c r="D1248" s="62"/>
      <c r="E1248" s="68"/>
      <c r="F1248" s="68"/>
    </row>
    <row r="1249" spans="1:6" x14ac:dyDescent="0.3">
      <c r="A1249" s="103"/>
      <c r="B1249" s="105"/>
      <c r="C1249" s="70"/>
      <c r="D1249" s="62"/>
      <c r="E1249" s="68"/>
      <c r="F1249" s="68"/>
    </row>
    <row r="1250" spans="1:6" x14ac:dyDescent="0.3">
      <c r="A1250" s="103"/>
      <c r="B1250" s="105"/>
      <c r="C1250" s="70"/>
      <c r="D1250" s="62"/>
      <c r="E1250" s="68"/>
      <c r="F1250" s="68"/>
    </row>
    <row r="1251" spans="1:6" x14ac:dyDescent="0.3">
      <c r="A1251" s="103"/>
      <c r="B1251" s="105"/>
      <c r="C1251" s="70"/>
      <c r="D1251" s="62"/>
      <c r="E1251" s="68"/>
      <c r="F1251" s="68"/>
    </row>
    <row r="1252" spans="1:6" x14ac:dyDescent="0.3">
      <c r="A1252" s="103"/>
      <c r="B1252" s="105"/>
      <c r="C1252" s="70"/>
      <c r="D1252" s="62"/>
      <c r="E1252" s="68"/>
      <c r="F1252" s="68"/>
    </row>
    <row r="1253" spans="1:6" x14ac:dyDescent="0.3">
      <c r="A1253" s="103"/>
      <c r="B1253" s="105"/>
      <c r="C1253" s="70"/>
      <c r="D1253" s="62"/>
      <c r="E1253" s="68"/>
      <c r="F1253" s="68"/>
    </row>
    <row r="1254" spans="1:6" x14ac:dyDescent="0.3">
      <c r="A1254" s="103"/>
      <c r="B1254" s="105"/>
      <c r="C1254" s="70"/>
      <c r="D1254" s="62"/>
      <c r="E1254" s="68"/>
      <c r="F1254" s="68"/>
    </row>
    <row r="1255" spans="1:6" x14ac:dyDescent="0.3">
      <c r="A1255" s="103"/>
      <c r="B1255" s="105"/>
      <c r="C1255" s="70"/>
      <c r="D1255" s="62"/>
      <c r="E1255" s="68"/>
      <c r="F1255" s="68"/>
    </row>
    <row r="1256" spans="1:6" x14ac:dyDescent="0.3">
      <c r="A1256" s="103"/>
      <c r="B1256" s="105"/>
      <c r="C1256" s="70"/>
      <c r="D1256" s="62"/>
      <c r="E1256" s="68"/>
      <c r="F1256" s="68"/>
    </row>
    <row r="1257" spans="1:6" x14ac:dyDescent="0.3">
      <c r="A1257" s="103"/>
      <c r="B1257" s="105"/>
      <c r="C1257" s="70"/>
      <c r="D1257" s="62"/>
      <c r="E1257" s="68"/>
      <c r="F1257" s="68"/>
    </row>
    <row r="1258" spans="1:6" x14ac:dyDescent="0.3">
      <c r="A1258" s="103"/>
      <c r="B1258" s="105"/>
      <c r="C1258" s="70"/>
      <c r="D1258" s="62"/>
      <c r="E1258" s="68"/>
      <c r="F1258" s="68"/>
    </row>
    <row r="1259" spans="1:6" x14ac:dyDescent="0.3">
      <c r="A1259" s="103"/>
      <c r="B1259" s="105"/>
      <c r="C1259" s="70"/>
      <c r="D1259" s="62"/>
      <c r="E1259" s="68"/>
      <c r="F1259" s="68"/>
    </row>
    <row r="1260" spans="1:6" x14ac:dyDescent="0.3">
      <c r="A1260" s="103"/>
      <c r="B1260" s="105"/>
      <c r="C1260" s="70"/>
      <c r="D1260" s="62"/>
      <c r="E1260" s="68"/>
      <c r="F1260" s="68"/>
    </row>
    <row r="1261" spans="1:6" x14ac:dyDescent="0.3">
      <c r="A1261" s="103"/>
      <c r="B1261" s="105"/>
      <c r="C1261" s="70"/>
      <c r="D1261" s="62"/>
      <c r="E1261" s="68"/>
      <c r="F1261" s="68"/>
    </row>
    <row r="1262" spans="1:6" x14ac:dyDescent="0.3">
      <c r="A1262" s="103"/>
      <c r="B1262" s="105"/>
      <c r="C1262" s="70"/>
      <c r="D1262" s="62"/>
      <c r="E1262" s="68"/>
      <c r="F1262" s="68"/>
    </row>
    <row r="1263" spans="1:6" x14ac:dyDescent="0.3">
      <c r="A1263" s="103"/>
      <c r="B1263" s="105"/>
      <c r="C1263" s="70"/>
      <c r="D1263" s="62"/>
      <c r="E1263" s="68"/>
      <c r="F1263" s="68"/>
    </row>
    <row r="1264" spans="1:6" x14ac:dyDescent="0.3">
      <c r="A1264" s="103"/>
      <c r="B1264" s="105"/>
      <c r="C1264" s="70"/>
      <c r="D1264" s="62"/>
      <c r="E1264" s="68"/>
      <c r="F1264" s="68"/>
    </row>
    <row r="1265" spans="1:6" x14ac:dyDescent="0.3">
      <c r="A1265" s="103"/>
      <c r="B1265" s="105"/>
      <c r="C1265" s="70"/>
      <c r="D1265" s="62"/>
      <c r="E1265" s="68"/>
      <c r="F1265" s="68"/>
    </row>
    <row r="1266" spans="1:6" x14ac:dyDescent="0.3">
      <c r="A1266" s="103"/>
      <c r="B1266" s="105"/>
      <c r="C1266" s="70"/>
      <c r="D1266" s="62"/>
      <c r="E1266" s="68"/>
      <c r="F1266" s="68"/>
    </row>
    <row r="1267" spans="1:6" x14ac:dyDescent="0.3">
      <c r="A1267" s="103"/>
      <c r="B1267" s="105"/>
      <c r="C1267" s="70"/>
      <c r="D1267" s="62"/>
      <c r="E1267" s="68"/>
      <c r="F1267" s="68"/>
    </row>
    <row r="1268" spans="1:6" x14ac:dyDescent="0.3">
      <c r="A1268" s="103"/>
      <c r="B1268" s="105"/>
      <c r="C1268" s="70"/>
      <c r="D1268" s="62"/>
      <c r="E1268" s="68"/>
      <c r="F1268" s="68"/>
    </row>
    <row r="1269" spans="1:6" x14ac:dyDescent="0.3">
      <c r="A1269" s="103"/>
      <c r="B1269" s="105"/>
      <c r="C1269" s="70"/>
      <c r="D1269" s="62"/>
      <c r="E1269" s="68"/>
      <c r="F1269" s="68"/>
    </row>
    <row r="1270" spans="1:6" x14ac:dyDescent="0.3">
      <c r="A1270" s="103"/>
      <c r="B1270" s="105"/>
      <c r="C1270" s="70"/>
      <c r="D1270" s="62"/>
      <c r="E1270" s="68"/>
      <c r="F1270" s="68"/>
    </row>
    <row r="1271" spans="1:6" x14ac:dyDescent="0.3">
      <c r="A1271" s="103"/>
      <c r="B1271" s="105"/>
      <c r="C1271" s="70"/>
      <c r="D1271" s="62"/>
      <c r="E1271" s="68"/>
      <c r="F1271" s="68"/>
    </row>
    <row r="1272" spans="1:6" x14ac:dyDescent="0.3">
      <c r="A1272" s="103"/>
      <c r="B1272" s="105"/>
      <c r="C1272" s="70"/>
      <c r="D1272" s="62"/>
      <c r="E1272" s="68"/>
      <c r="F1272" s="68"/>
    </row>
    <row r="1273" spans="1:6" x14ac:dyDescent="0.3">
      <c r="A1273" s="103"/>
      <c r="B1273" s="105"/>
      <c r="C1273" s="70"/>
      <c r="D1273" s="62"/>
      <c r="E1273" s="68"/>
      <c r="F1273" s="68"/>
    </row>
    <row r="1274" spans="1:6" x14ac:dyDescent="0.3">
      <c r="A1274" s="103"/>
      <c r="B1274" s="105"/>
      <c r="C1274" s="70"/>
      <c r="D1274" s="62"/>
      <c r="E1274" s="68"/>
      <c r="F1274" s="68"/>
    </row>
    <row r="1275" spans="1:6" x14ac:dyDescent="0.3">
      <c r="A1275" s="103"/>
      <c r="B1275" s="105"/>
      <c r="C1275" s="70"/>
      <c r="D1275" s="62"/>
      <c r="E1275" s="68"/>
      <c r="F1275" s="68"/>
    </row>
    <row r="1276" spans="1:6" x14ac:dyDescent="0.3">
      <c r="A1276" s="103"/>
      <c r="B1276" s="105"/>
      <c r="C1276" s="70"/>
      <c r="D1276" s="62"/>
      <c r="E1276" s="68"/>
      <c r="F1276" s="68"/>
    </row>
    <row r="1277" spans="1:6" x14ac:dyDescent="0.3">
      <c r="A1277" s="103"/>
      <c r="B1277" s="105"/>
      <c r="C1277" s="70"/>
      <c r="D1277" s="62"/>
      <c r="E1277" s="68"/>
      <c r="F1277" s="68"/>
    </row>
    <row r="1278" spans="1:6" x14ac:dyDescent="0.3">
      <c r="A1278" s="103"/>
      <c r="B1278" s="105"/>
      <c r="C1278" s="70"/>
      <c r="D1278" s="62"/>
      <c r="E1278" s="68"/>
      <c r="F1278" s="68"/>
    </row>
    <row r="1279" spans="1:6" x14ac:dyDescent="0.3">
      <c r="A1279" s="103"/>
      <c r="B1279" s="105"/>
      <c r="C1279" s="70"/>
      <c r="D1279" s="62"/>
      <c r="E1279" s="68"/>
      <c r="F1279" s="68"/>
    </row>
    <row r="1280" spans="1:6" x14ac:dyDescent="0.3">
      <c r="A1280" s="103"/>
      <c r="B1280" s="105"/>
      <c r="C1280" s="70"/>
      <c r="D1280" s="62"/>
      <c r="E1280" s="68"/>
      <c r="F1280" s="68"/>
    </row>
    <row r="1281" spans="1:6" x14ac:dyDescent="0.3">
      <c r="A1281" s="103"/>
      <c r="B1281" s="105"/>
      <c r="C1281" s="70"/>
      <c r="D1281" s="62"/>
      <c r="E1281" s="68"/>
      <c r="F1281" s="68"/>
    </row>
    <row r="1282" spans="1:6" x14ac:dyDescent="0.3">
      <c r="A1282" s="103"/>
      <c r="B1282" s="105"/>
      <c r="C1282" s="70"/>
      <c r="D1282" s="62"/>
      <c r="E1282" s="68"/>
      <c r="F1282" s="68"/>
    </row>
    <row r="1283" spans="1:6" x14ac:dyDescent="0.3">
      <c r="A1283" s="103"/>
      <c r="B1283" s="105"/>
      <c r="C1283" s="70"/>
      <c r="D1283" s="62"/>
      <c r="E1283" s="68"/>
      <c r="F1283" s="68"/>
    </row>
    <row r="1284" spans="1:6" x14ac:dyDescent="0.3">
      <c r="A1284" s="103"/>
      <c r="B1284" s="105"/>
      <c r="C1284" s="70"/>
      <c r="D1284" s="62"/>
      <c r="E1284" s="68"/>
      <c r="F1284" s="68"/>
    </row>
    <row r="1285" spans="1:6" x14ac:dyDescent="0.3">
      <c r="A1285" s="103"/>
      <c r="B1285" s="105"/>
      <c r="C1285" s="70"/>
      <c r="D1285" s="62"/>
      <c r="E1285" s="68"/>
      <c r="F1285" s="68"/>
    </row>
    <row r="1286" spans="1:6" x14ac:dyDescent="0.3">
      <c r="A1286" s="103"/>
      <c r="B1286" s="105"/>
      <c r="C1286" s="70"/>
      <c r="D1286" s="62"/>
      <c r="E1286" s="68"/>
      <c r="F1286" s="68"/>
    </row>
    <row r="1287" spans="1:6" x14ac:dyDescent="0.3">
      <c r="A1287" s="103"/>
      <c r="B1287" s="105"/>
      <c r="C1287" s="70"/>
      <c r="D1287" s="62"/>
      <c r="E1287" s="68"/>
      <c r="F1287" s="68"/>
    </row>
    <row r="1288" spans="1:6" x14ac:dyDescent="0.3">
      <c r="A1288" s="103"/>
      <c r="B1288" s="105"/>
      <c r="C1288" s="70"/>
      <c r="D1288" s="62"/>
      <c r="E1288" s="68"/>
      <c r="F1288" s="68"/>
    </row>
    <row r="1289" spans="1:6" x14ac:dyDescent="0.3">
      <c r="A1289" s="103"/>
      <c r="B1289" s="105"/>
      <c r="C1289" s="70"/>
      <c r="D1289" s="62"/>
      <c r="E1289" s="68"/>
      <c r="F1289" s="68"/>
    </row>
    <row r="1290" spans="1:6" x14ac:dyDescent="0.3">
      <c r="A1290" s="103"/>
      <c r="B1290" s="105"/>
      <c r="C1290" s="70"/>
      <c r="D1290" s="62"/>
      <c r="E1290" s="68"/>
      <c r="F1290" s="68"/>
    </row>
    <row r="1291" spans="1:6" x14ac:dyDescent="0.3">
      <c r="A1291" s="103"/>
      <c r="B1291" s="105"/>
      <c r="C1291" s="70"/>
      <c r="D1291" s="62"/>
      <c r="E1291" s="68"/>
      <c r="F1291" s="68"/>
    </row>
    <row r="1292" spans="1:6" x14ac:dyDescent="0.3">
      <c r="A1292" s="103"/>
      <c r="B1292" s="105"/>
      <c r="C1292" s="70"/>
      <c r="D1292" s="62"/>
      <c r="E1292" s="68"/>
      <c r="F1292" s="68"/>
    </row>
    <row r="1293" spans="1:6" x14ac:dyDescent="0.3">
      <c r="A1293" s="103"/>
      <c r="B1293" s="105"/>
      <c r="C1293" s="70"/>
      <c r="D1293" s="62"/>
      <c r="E1293" s="68"/>
      <c r="F1293" s="68"/>
    </row>
    <row r="1294" spans="1:6" x14ac:dyDescent="0.3">
      <c r="A1294" s="103"/>
      <c r="B1294" s="105"/>
      <c r="C1294" s="70"/>
      <c r="D1294" s="62"/>
      <c r="E1294" s="68"/>
      <c r="F1294" s="68"/>
    </row>
    <row r="1295" spans="1:6" x14ac:dyDescent="0.3">
      <c r="A1295" s="103"/>
      <c r="B1295" s="105"/>
      <c r="C1295" s="70"/>
      <c r="D1295" s="62"/>
      <c r="E1295" s="68"/>
      <c r="F1295" s="68"/>
    </row>
    <row r="1296" spans="1:6" x14ac:dyDescent="0.3">
      <c r="A1296" s="103"/>
      <c r="B1296" s="105"/>
      <c r="C1296" s="70"/>
      <c r="D1296" s="62"/>
      <c r="E1296" s="68"/>
      <c r="F1296" s="68"/>
    </row>
    <row r="1297" spans="1:6" x14ac:dyDescent="0.3">
      <c r="A1297" s="103"/>
      <c r="B1297" s="105"/>
      <c r="C1297" s="70"/>
      <c r="D1297" s="62"/>
      <c r="E1297" s="68"/>
      <c r="F1297" s="68"/>
    </row>
    <row r="1298" spans="1:6" x14ac:dyDescent="0.3">
      <c r="A1298" s="103"/>
      <c r="B1298" s="105"/>
      <c r="C1298" s="70"/>
      <c r="D1298" s="62"/>
      <c r="E1298" s="68"/>
      <c r="F1298" s="68"/>
    </row>
    <row r="1299" spans="1:6" x14ac:dyDescent="0.3">
      <c r="A1299" s="103"/>
      <c r="B1299" s="105"/>
      <c r="C1299" s="70"/>
      <c r="D1299" s="62"/>
      <c r="E1299" s="68"/>
      <c r="F1299" s="68"/>
    </row>
    <row r="1300" spans="1:6" x14ac:dyDescent="0.3">
      <c r="A1300" s="103"/>
      <c r="B1300" s="105"/>
      <c r="C1300" s="70"/>
      <c r="D1300" s="62"/>
      <c r="E1300" s="68"/>
      <c r="F1300" s="68"/>
    </row>
    <row r="1301" spans="1:6" x14ac:dyDescent="0.3">
      <c r="A1301" s="103"/>
      <c r="B1301" s="105"/>
      <c r="C1301" s="70"/>
      <c r="D1301" s="62"/>
      <c r="E1301" s="68"/>
      <c r="F1301" s="68"/>
    </row>
    <row r="1302" spans="1:6" x14ac:dyDescent="0.3">
      <c r="A1302" s="103"/>
      <c r="B1302" s="105"/>
      <c r="C1302" s="70"/>
      <c r="D1302" s="62"/>
      <c r="E1302" s="68"/>
      <c r="F1302" s="68"/>
    </row>
    <row r="1303" spans="1:6" x14ac:dyDescent="0.3">
      <c r="A1303" s="103"/>
      <c r="B1303" s="105"/>
      <c r="C1303" s="70"/>
      <c r="D1303" s="62"/>
      <c r="E1303" s="68"/>
      <c r="F1303" s="68"/>
    </row>
    <row r="1304" spans="1:6" x14ac:dyDescent="0.3">
      <c r="A1304" s="103"/>
      <c r="B1304" s="105"/>
      <c r="C1304" s="70"/>
      <c r="D1304" s="62"/>
      <c r="E1304" s="68"/>
      <c r="F1304" s="68"/>
    </row>
    <row r="1305" spans="1:6" x14ac:dyDescent="0.3">
      <c r="A1305" s="103"/>
      <c r="B1305" s="105"/>
      <c r="C1305" s="70"/>
      <c r="D1305" s="62"/>
      <c r="E1305" s="68"/>
      <c r="F1305" s="68"/>
    </row>
    <row r="1306" spans="1:6" x14ac:dyDescent="0.3">
      <c r="A1306" s="103"/>
      <c r="B1306" s="105"/>
      <c r="C1306" s="70"/>
      <c r="D1306" s="62"/>
      <c r="E1306" s="68"/>
      <c r="F1306" s="68"/>
    </row>
    <row r="1307" spans="1:6" x14ac:dyDescent="0.3">
      <c r="A1307" s="103"/>
      <c r="B1307" s="105"/>
      <c r="C1307" s="70"/>
      <c r="D1307" s="62"/>
      <c r="E1307" s="68"/>
      <c r="F1307" s="68"/>
    </row>
    <row r="1308" spans="1:6" x14ac:dyDescent="0.3">
      <c r="A1308" s="103"/>
      <c r="B1308" s="105"/>
      <c r="C1308" s="70"/>
      <c r="D1308" s="62"/>
      <c r="E1308" s="68"/>
      <c r="F1308" s="68"/>
    </row>
    <row r="1309" spans="1:6" x14ac:dyDescent="0.3">
      <c r="A1309" s="103"/>
      <c r="B1309" s="105"/>
      <c r="C1309" s="70"/>
      <c r="D1309" s="62"/>
      <c r="E1309" s="68"/>
      <c r="F1309" s="68"/>
    </row>
    <row r="1310" spans="1:6" x14ac:dyDescent="0.3">
      <c r="A1310" s="103"/>
      <c r="B1310" s="105"/>
      <c r="C1310" s="70"/>
      <c r="D1310" s="62"/>
      <c r="E1310" s="68"/>
      <c r="F1310" s="68"/>
    </row>
    <row r="1311" spans="1:6" x14ac:dyDescent="0.3">
      <c r="A1311" s="103"/>
      <c r="B1311" s="105"/>
      <c r="C1311" s="70"/>
      <c r="D1311" s="62"/>
      <c r="E1311" s="68"/>
      <c r="F1311" s="68"/>
    </row>
    <row r="1312" spans="1:6" x14ac:dyDescent="0.3">
      <c r="A1312" s="103"/>
      <c r="B1312" s="105"/>
      <c r="C1312" s="70"/>
      <c r="D1312" s="62"/>
      <c r="E1312" s="68"/>
      <c r="F1312" s="68"/>
    </row>
    <row r="1313" spans="1:6" x14ac:dyDescent="0.3">
      <c r="A1313" s="103"/>
      <c r="B1313" s="105"/>
      <c r="C1313" s="70"/>
      <c r="D1313" s="62"/>
      <c r="E1313" s="68"/>
      <c r="F1313" s="68"/>
    </row>
    <row r="1314" spans="1:6" x14ac:dyDescent="0.3">
      <c r="A1314" s="103"/>
      <c r="B1314" s="105"/>
      <c r="C1314" s="70"/>
      <c r="D1314" s="62"/>
      <c r="E1314" s="68"/>
      <c r="F1314" s="68"/>
    </row>
    <row r="1315" spans="1:6" x14ac:dyDescent="0.3">
      <c r="A1315" s="103"/>
      <c r="B1315" s="105"/>
      <c r="C1315" s="70"/>
      <c r="D1315" s="62"/>
      <c r="E1315" s="68"/>
      <c r="F1315" s="68"/>
    </row>
    <row r="1316" spans="1:6" x14ac:dyDescent="0.3">
      <c r="A1316" s="103"/>
      <c r="B1316" s="105"/>
      <c r="C1316" s="70"/>
      <c r="D1316" s="62"/>
      <c r="E1316" s="68"/>
      <c r="F1316" s="68"/>
    </row>
    <row r="1317" spans="1:6" x14ac:dyDescent="0.3">
      <c r="A1317" s="103"/>
      <c r="B1317" s="105"/>
      <c r="C1317" s="70"/>
      <c r="D1317" s="62"/>
      <c r="E1317" s="68"/>
      <c r="F1317" s="68"/>
    </row>
    <row r="1318" spans="1:6" x14ac:dyDescent="0.3">
      <c r="A1318" s="103"/>
      <c r="B1318" s="105"/>
      <c r="C1318" s="70"/>
      <c r="D1318" s="62"/>
      <c r="E1318" s="68"/>
      <c r="F1318" s="68"/>
    </row>
    <row r="1319" spans="1:6" x14ac:dyDescent="0.3">
      <c r="A1319" s="103"/>
      <c r="B1319" s="105"/>
      <c r="C1319" s="70"/>
      <c r="D1319" s="62"/>
      <c r="E1319" s="68"/>
      <c r="F1319" s="68"/>
    </row>
    <row r="1320" spans="1:6" x14ac:dyDescent="0.3">
      <c r="A1320" s="103"/>
      <c r="B1320" s="105"/>
      <c r="C1320" s="70"/>
      <c r="D1320" s="62"/>
      <c r="E1320" s="68"/>
      <c r="F1320" s="68"/>
    </row>
    <row r="1321" spans="1:6" x14ac:dyDescent="0.3">
      <c r="A1321" s="103"/>
      <c r="B1321" s="105"/>
      <c r="C1321" s="70"/>
      <c r="D1321" s="62"/>
      <c r="E1321" s="68"/>
      <c r="F1321" s="68"/>
    </row>
    <row r="1322" spans="1:6" x14ac:dyDescent="0.3">
      <c r="A1322" s="103"/>
      <c r="B1322" s="105"/>
      <c r="C1322" s="70"/>
      <c r="D1322" s="62"/>
      <c r="E1322" s="68"/>
      <c r="F1322" s="68"/>
    </row>
    <row r="1323" spans="1:6" x14ac:dyDescent="0.3">
      <c r="A1323" s="103"/>
      <c r="B1323" s="105"/>
      <c r="C1323" s="70"/>
      <c r="D1323" s="62"/>
      <c r="E1323" s="68"/>
      <c r="F1323" s="68"/>
    </row>
    <row r="1324" spans="1:6" x14ac:dyDescent="0.3">
      <c r="A1324" s="103"/>
      <c r="B1324" s="105"/>
      <c r="C1324" s="70"/>
      <c r="D1324" s="62"/>
      <c r="E1324" s="68"/>
      <c r="F1324" s="68"/>
    </row>
    <row r="1325" spans="1:6" x14ac:dyDescent="0.3">
      <c r="A1325" s="103"/>
      <c r="B1325" s="105"/>
      <c r="C1325" s="70"/>
      <c r="D1325" s="62"/>
      <c r="E1325" s="68"/>
      <c r="F1325" s="68"/>
    </row>
    <row r="1326" spans="1:6" x14ac:dyDescent="0.3">
      <c r="A1326" s="103"/>
      <c r="B1326" s="105"/>
      <c r="C1326" s="70"/>
      <c r="D1326" s="62"/>
      <c r="E1326" s="68"/>
      <c r="F1326" s="68"/>
    </row>
    <row r="1327" spans="1:6" x14ac:dyDescent="0.3">
      <c r="A1327" s="103"/>
      <c r="B1327" s="105"/>
      <c r="C1327" s="70"/>
      <c r="D1327" s="62"/>
      <c r="E1327" s="68"/>
      <c r="F1327" s="68"/>
    </row>
    <row r="1328" spans="1:6" x14ac:dyDescent="0.3">
      <c r="A1328" s="103"/>
      <c r="B1328" s="105"/>
      <c r="C1328" s="70"/>
      <c r="D1328" s="62"/>
      <c r="E1328" s="68"/>
      <c r="F1328" s="68"/>
    </row>
    <row r="1329" spans="1:6" x14ac:dyDescent="0.3">
      <c r="A1329" s="103"/>
      <c r="B1329" s="105"/>
      <c r="C1329" s="70"/>
      <c r="D1329" s="62"/>
      <c r="E1329" s="68"/>
      <c r="F1329" s="68"/>
    </row>
    <row r="1330" spans="1:6" x14ac:dyDescent="0.3">
      <c r="A1330" s="103"/>
      <c r="B1330" s="105"/>
      <c r="C1330" s="70"/>
      <c r="D1330" s="62"/>
      <c r="E1330" s="68"/>
      <c r="F1330" s="68"/>
    </row>
    <row r="1331" spans="1:6" x14ac:dyDescent="0.3">
      <c r="A1331" s="103"/>
      <c r="B1331" s="105"/>
      <c r="C1331" s="70"/>
      <c r="D1331" s="62"/>
      <c r="E1331" s="68"/>
      <c r="F1331" s="68"/>
    </row>
    <row r="1332" spans="1:6" x14ac:dyDescent="0.3">
      <c r="A1332" s="103"/>
      <c r="B1332" s="105"/>
      <c r="C1332" s="70"/>
      <c r="D1332" s="62"/>
      <c r="E1332" s="68"/>
      <c r="F1332" s="68"/>
    </row>
    <row r="1333" spans="1:6" x14ac:dyDescent="0.3">
      <c r="A1333" s="103"/>
      <c r="B1333" s="105"/>
      <c r="C1333" s="70"/>
      <c r="D1333" s="62"/>
      <c r="E1333" s="68"/>
      <c r="F1333" s="68"/>
    </row>
    <row r="1334" spans="1:6" x14ac:dyDescent="0.3">
      <c r="A1334" s="103"/>
      <c r="B1334" s="105"/>
      <c r="C1334" s="70"/>
      <c r="D1334" s="62"/>
      <c r="E1334" s="68"/>
      <c r="F1334" s="68"/>
    </row>
    <row r="1335" spans="1:6" x14ac:dyDescent="0.3">
      <c r="A1335" s="103"/>
      <c r="B1335" s="105"/>
      <c r="C1335" s="70"/>
      <c r="D1335" s="62"/>
      <c r="E1335" s="68"/>
      <c r="F1335" s="68"/>
    </row>
    <row r="1336" spans="1:6" x14ac:dyDescent="0.3">
      <c r="A1336" s="103"/>
      <c r="B1336" s="105"/>
      <c r="C1336" s="70"/>
      <c r="D1336" s="62"/>
      <c r="E1336" s="68"/>
      <c r="F1336" s="68"/>
    </row>
    <row r="1337" spans="1:6" x14ac:dyDescent="0.3">
      <c r="A1337" s="103"/>
      <c r="B1337" s="105"/>
      <c r="C1337" s="70"/>
      <c r="D1337" s="62"/>
      <c r="E1337" s="68"/>
      <c r="F1337" s="68"/>
    </row>
    <row r="1338" spans="1:6" x14ac:dyDescent="0.3">
      <c r="A1338" s="103"/>
      <c r="B1338" s="105"/>
      <c r="C1338" s="70"/>
      <c r="D1338" s="62"/>
      <c r="E1338" s="68"/>
      <c r="F1338" s="68"/>
    </row>
    <row r="1339" spans="1:6" x14ac:dyDescent="0.3">
      <c r="A1339" s="103"/>
      <c r="B1339" s="105"/>
      <c r="C1339" s="70"/>
      <c r="D1339" s="62"/>
      <c r="E1339" s="68"/>
      <c r="F1339" s="68"/>
    </row>
    <row r="1340" spans="1:6" x14ac:dyDescent="0.3">
      <c r="A1340" s="103"/>
      <c r="B1340" s="105"/>
      <c r="C1340" s="70"/>
      <c r="D1340" s="62"/>
      <c r="E1340" s="68"/>
      <c r="F1340" s="68"/>
    </row>
    <row r="1341" spans="1:6" x14ac:dyDescent="0.3">
      <c r="A1341" s="103"/>
      <c r="B1341" s="105"/>
      <c r="C1341" s="70"/>
      <c r="D1341" s="62"/>
      <c r="E1341" s="68"/>
      <c r="F1341" s="68"/>
    </row>
    <row r="1342" spans="1:6" x14ac:dyDescent="0.3">
      <c r="A1342" s="103"/>
      <c r="B1342" s="105"/>
      <c r="C1342" s="70"/>
      <c r="D1342" s="62"/>
      <c r="E1342" s="68"/>
      <c r="F1342" s="68"/>
    </row>
    <row r="1343" spans="1:6" x14ac:dyDescent="0.3">
      <c r="A1343" s="103"/>
      <c r="B1343" s="105"/>
      <c r="C1343" s="70"/>
      <c r="D1343" s="62"/>
      <c r="E1343" s="68"/>
      <c r="F1343" s="68"/>
    </row>
    <row r="1344" spans="1:6" x14ac:dyDescent="0.3">
      <c r="A1344" s="103"/>
      <c r="B1344" s="105"/>
      <c r="C1344" s="70"/>
      <c r="D1344" s="62"/>
      <c r="E1344" s="68"/>
      <c r="F1344" s="68"/>
    </row>
    <row r="1345" spans="1:6" x14ac:dyDescent="0.3">
      <c r="A1345" s="103"/>
      <c r="B1345" s="105"/>
      <c r="C1345" s="70"/>
      <c r="D1345" s="62"/>
      <c r="E1345" s="68"/>
      <c r="F1345" s="68"/>
    </row>
    <row r="1346" spans="1:6" x14ac:dyDescent="0.3">
      <c r="A1346" s="103"/>
      <c r="B1346" s="105"/>
      <c r="C1346" s="70"/>
      <c r="D1346" s="62"/>
      <c r="E1346" s="68"/>
      <c r="F1346" s="68"/>
    </row>
    <row r="1347" spans="1:6" x14ac:dyDescent="0.3">
      <c r="A1347" s="103"/>
      <c r="B1347" s="105"/>
      <c r="C1347" s="70"/>
      <c r="D1347" s="62"/>
      <c r="E1347" s="68"/>
      <c r="F1347" s="68"/>
    </row>
    <row r="1348" spans="1:6" x14ac:dyDescent="0.3">
      <c r="A1348" s="103"/>
      <c r="B1348" s="105"/>
      <c r="C1348" s="70"/>
      <c r="D1348" s="62"/>
      <c r="E1348" s="68"/>
      <c r="F1348" s="68"/>
    </row>
    <row r="1349" spans="1:6" x14ac:dyDescent="0.3">
      <c r="A1349" s="103"/>
      <c r="B1349" s="105"/>
      <c r="C1349" s="70"/>
      <c r="D1349" s="62"/>
      <c r="E1349" s="68"/>
      <c r="F1349" s="68"/>
    </row>
    <row r="1350" spans="1:6" x14ac:dyDescent="0.3">
      <c r="A1350" s="103"/>
      <c r="B1350" s="105"/>
      <c r="C1350" s="70"/>
      <c r="D1350" s="62"/>
      <c r="E1350" s="68"/>
      <c r="F1350" s="68"/>
    </row>
    <row r="1351" spans="1:6" x14ac:dyDescent="0.3">
      <c r="A1351" s="103"/>
      <c r="B1351" s="105"/>
      <c r="C1351" s="70"/>
      <c r="D1351" s="62"/>
      <c r="E1351" s="68"/>
      <c r="F1351" s="68"/>
    </row>
    <row r="1352" spans="1:6" x14ac:dyDescent="0.3">
      <c r="A1352" s="103"/>
      <c r="B1352" s="105"/>
      <c r="C1352" s="70"/>
      <c r="D1352" s="62"/>
      <c r="E1352" s="68"/>
      <c r="F1352" s="68"/>
    </row>
    <row r="1353" spans="1:6" x14ac:dyDescent="0.3">
      <c r="A1353" s="103"/>
      <c r="B1353" s="105"/>
      <c r="C1353" s="70"/>
      <c r="D1353" s="62"/>
      <c r="E1353" s="68"/>
      <c r="F1353" s="68"/>
    </row>
    <row r="1354" spans="1:6" x14ac:dyDescent="0.3">
      <c r="A1354" s="103"/>
      <c r="B1354" s="105"/>
      <c r="C1354" s="70"/>
      <c r="D1354" s="62"/>
      <c r="E1354" s="68"/>
      <c r="F1354" s="68"/>
    </row>
    <row r="1355" spans="1:6" x14ac:dyDescent="0.3">
      <c r="A1355" s="103"/>
      <c r="B1355" s="105"/>
      <c r="C1355" s="70"/>
      <c r="D1355" s="62"/>
      <c r="E1355" s="68"/>
      <c r="F1355" s="68"/>
    </row>
    <row r="1356" spans="1:6" x14ac:dyDescent="0.3">
      <c r="A1356" s="103"/>
      <c r="B1356" s="105"/>
      <c r="C1356" s="70"/>
      <c r="D1356" s="62"/>
      <c r="E1356" s="68"/>
      <c r="F1356" s="68"/>
    </row>
    <row r="1357" spans="1:6" x14ac:dyDescent="0.3">
      <c r="A1357" s="103"/>
      <c r="B1357" s="105"/>
      <c r="C1357" s="70"/>
      <c r="D1357" s="62"/>
      <c r="E1357" s="68"/>
      <c r="F1357" s="68"/>
    </row>
    <row r="1358" spans="1:6" x14ac:dyDescent="0.3">
      <c r="A1358" s="103"/>
      <c r="B1358" s="105"/>
      <c r="C1358" s="70"/>
      <c r="D1358" s="62"/>
      <c r="E1358" s="68"/>
      <c r="F1358" s="68"/>
    </row>
    <row r="1359" spans="1:6" x14ac:dyDescent="0.3">
      <c r="A1359" s="103"/>
      <c r="B1359" s="105"/>
      <c r="C1359" s="70"/>
      <c r="D1359" s="62"/>
      <c r="E1359" s="68"/>
      <c r="F1359" s="68"/>
    </row>
    <row r="1360" spans="1:6" x14ac:dyDescent="0.3">
      <c r="A1360" s="103"/>
      <c r="B1360" s="105"/>
      <c r="C1360" s="70"/>
      <c r="D1360" s="62"/>
      <c r="E1360" s="68"/>
      <c r="F1360" s="68"/>
    </row>
    <row r="1361" spans="1:6" x14ac:dyDescent="0.3">
      <c r="A1361" s="103"/>
      <c r="B1361" s="105"/>
      <c r="C1361" s="70"/>
      <c r="D1361" s="62"/>
      <c r="E1361" s="68"/>
      <c r="F1361" s="68"/>
    </row>
    <row r="1362" spans="1:6" x14ac:dyDescent="0.3">
      <c r="A1362" s="103"/>
      <c r="B1362" s="105"/>
      <c r="C1362" s="70"/>
      <c r="D1362" s="62"/>
      <c r="E1362" s="68"/>
      <c r="F1362" s="68"/>
    </row>
    <row r="1363" spans="1:6" x14ac:dyDescent="0.3">
      <c r="A1363" s="103"/>
      <c r="B1363" s="105"/>
      <c r="C1363" s="70"/>
      <c r="D1363" s="62"/>
      <c r="E1363" s="68"/>
      <c r="F1363" s="68"/>
    </row>
    <row r="1364" spans="1:6" x14ac:dyDescent="0.3">
      <c r="A1364" s="103"/>
      <c r="B1364" s="105"/>
      <c r="C1364" s="70"/>
      <c r="D1364" s="62"/>
      <c r="E1364" s="68"/>
      <c r="F1364" s="68"/>
    </row>
    <row r="1365" spans="1:6" x14ac:dyDescent="0.3">
      <c r="A1365" s="103"/>
      <c r="B1365" s="105"/>
      <c r="C1365" s="70"/>
      <c r="D1365" s="62"/>
      <c r="E1365" s="68"/>
      <c r="F1365" s="68"/>
    </row>
    <row r="1366" spans="1:6" x14ac:dyDescent="0.3">
      <c r="A1366" s="103"/>
      <c r="B1366" s="105"/>
      <c r="C1366" s="70"/>
      <c r="D1366" s="62"/>
      <c r="E1366" s="68"/>
      <c r="F1366" s="68"/>
    </row>
    <row r="1367" spans="1:6" x14ac:dyDescent="0.3">
      <c r="A1367" s="103"/>
      <c r="B1367" s="105"/>
      <c r="C1367" s="70"/>
      <c r="D1367" s="62"/>
      <c r="E1367" s="68"/>
      <c r="F1367" s="68"/>
    </row>
    <row r="1368" spans="1:6" x14ac:dyDescent="0.3">
      <c r="A1368" s="103"/>
      <c r="B1368" s="105"/>
      <c r="C1368" s="70"/>
      <c r="D1368" s="62"/>
      <c r="E1368" s="68"/>
      <c r="F1368" s="68"/>
    </row>
    <row r="1369" spans="1:6" x14ac:dyDescent="0.3">
      <c r="A1369" s="103"/>
      <c r="B1369" s="105"/>
      <c r="C1369" s="70"/>
      <c r="D1369" s="62"/>
      <c r="E1369" s="68"/>
      <c r="F1369" s="68"/>
    </row>
    <row r="1370" spans="1:6" x14ac:dyDescent="0.3">
      <c r="A1370" s="103"/>
      <c r="B1370" s="105"/>
      <c r="C1370" s="70"/>
      <c r="D1370" s="62"/>
      <c r="E1370" s="68"/>
      <c r="F1370" s="68"/>
    </row>
    <row r="1371" spans="1:6" x14ac:dyDescent="0.3">
      <c r="A1371" s="103"/>
      <c r="B1371" s="105"/>
      <c r="C1371" s="70"/>
      <c r="D1371" s="62"/>
      <c r="E1371" s="68"/>
      <c r="F1371" s="68"/>
    </row>
    <row r="1372" spans="1:6" x14ac:dyDescent="0.3">
      <c r="A1372" s="103"/>
      <c r="B1372" s="105"/>
      <c r="C1372" s="70"/>
      <c r="D1372" s="62"/>
      <c r="E1372" s="68"/>
      <c r="F1372" s="68"/>
    </row>
    <row r="1373" spans="1:6" x14ac:dyDescent="0.3">
      <c r="A1373" s="103"/>
      <c r="B1373" s="105"/>
      <c r="C1373" s="70"/>
      <c r="D1373" s="62"/>
      <c r="E1373" s="68"/>
      <c r="F1373" s="68"/>
    </row>
    <row r="1374" spans="1:6" x14ac:dyDescent="0.3">
      <c r="A1374" s="103"/>
      <c r="B1374" s="105"/>
      <c r="C1374" s="70"/>
      <c r="D1374" s="62"/>
      <c r="E1374" s="68"/>
      <c r="F1374" s="68"/>
    </row>
    <row r="1375" spans="1:6" x14ac:dyDescent="0.3">
      <c r="A1375" s="103"/>
      <c r="B1375" s="105"/>
      <c r="C1375" s="70"/>
      <c r="D1375" s="62"/>
      <c r="E1375" s="68"/>
      <c r="F1375" s="68"/>
    </row>
    <row r="1376" spans="1:6" x14ac:dyDescent="0.3">
      <c r="A1376" s="103"/>
      <c r="B1376" s="105"/>
      <c r="C1376" s="70"/>
      <c r="D1376" s="62"/>
      <c r="E1376" s="68"/>
      <c r="F1376" s="68"/>
    </row>
    <row r="1377" spans="1:6" x14ac:dyDescent="0.3">
      <c r="A1377" s="103"/>
      <c r="B1377" s="105"/>
      <c r="C1377" s="70"/>
      <c r="D1377" s="62"/>
      <c r="E1377" s="68"/>
      <c r="F1377" s="68"/>
    </row>
    <row r="1378" spans="1:6" x14ac:dyDescent="0.3">
      <c r="A1378" s="103"/>
      <c r="B1378" s="105"/>
      <c r="C1378" s="70"/>
      <c r="D1378" s="62"/>
      <c r="E1378" s="68"/>
      <c r="F1378" s="68"/>
    </row>
    <row r="1379" spans="1:6" x14ac:dyDescent="0.3">
      <c r="A1379" s="103"/>
      <c r="B1379" s="105"/>
      <c r="C1379" s="70"/>
      <c r="D1379" s="62"/>
      <c r="E1379" s="68"/>
      <c r="F1379" s="68"/>
    </row>
    <row r="1380" spans="1:6" x14ac:dyDescent="0.3">
      <c r="A1380" s="103"/>
      <c r="B1380" s="105"/>
      <c r="C1380" s="70"/>
      <c r="D1380" s="62"/>
      <c r="E1380" s="68"/>
      <c r="F1380" s="68"/>
    </row>
    <row r="1381" spans="1:6" x14ac:dyDescent="0.3">
      <c r="A1381" s="103"/>
      <c r="B1381" s="105"/>
      <c r="C1381" s="70"/>
      <c r="D1381" s="62"/>
      <c r="E1381" s="68"/>
      <c r="F1381" s="68"/>
    </row>
    <row r="1382" spans="1:6" x14ac:dyDescent="0.3">
      <c r="A1382" s="103"/>
      <c r="B1382" s="105"/>
      <c r="C1382" s="70"/>
      <c r="D1382" s="62"/>
      <c r="E1382" s="68"/>
      <c r="F1382" s="68"/>
    </row>
    <row r="1383" spans="1:6" x14ac:dyDescent="0.3">
      <c r="A1383" s="103"/>
      <c r="B1383" s="105"/>
      <c r="C1383" s="70"/>
      <c r="D1383" s="62"/>
      <c r="E1383" s="68"/>
      <c r="F1383" s="68"/>
    </row>
    <row r="1384" spans="1:6" x14ac:dyDescent="0.3">
      <c r="A1384" s="103"/>
      <c r="B1384" s="105"/>
      <c r="C1384" s="70"/>
      <c r="D1384" s="62"/>
      <c r="E1384" s="68"/>
      <c r="F1384" s="68"/>
    </row>
    <row r="1385" spans="1:6" x14ac:dyDescent="0.3">
      <c r="A1385" s="103"/>
      <c r="B1385" s="105"/>
      <c r="C1385" s="70"/>
      <c r="D1385" s="62"/>
      <c r="E1385" s="68"/>
      <c r="F1385" s="68"/>
    </row>
    <row r="1386" spans="1:6" x14ac:dyDescent="0.3">
      <c r="A1386" s="103"/>
      <c r="B1386" s="105"/>
      <c r="C1386" s="70"/>
      <c r="D1386" s="62"/>
      <c r="E1386" s="68"/>
      <c r="F1386" s="68"/>
    </row>
    <row r="1387" spans="1:6" x14ac:dyDescent="0.3">
      <c r="A1387" s="103"/>
      <c r="B1387" s="105"/>
      <c r="C1387" s="70"/>
      <c r="D1387" s="62"/>
      <c r="E1387" s="68"/>
      <c r="F1387" s="68"/>
    </row>
    <row r="1388" spans="1:6" x14ac:dyDescent="0.3">
      <c r="A1388" s="103"/>
      <c r="B1388" s="105"/>
      <c r="C1388" s="70"/>
      <c r="D1388" s="62"/>
      <c r="E1388" s="68"/>
      <c r="F1388" s="68"/>
    </row>
    <row r="1389" spans="1:6" x14ac:dyDescent="0.3">
      <c r="A1389" s="103"/>
      <c r="B1389" s="105"/>
      <c r="C1389" s="70"/>
      <c r="D1389" s="62"/>
      <c r="E1389" s="68"/>
      <c r="F1389" s="68"/>
    </row>
    <row r="1390" spans="1:6" x14ac:dyDescent="0.3">
      <c r="A1390" s="103"/>
      <c r="B1390" s="105"/>
      <c r="C1390" s="70"/>
      <c r="D1390" s="62"/>
      <c r="E1390" s="68"/>
      <c r="F1390" s="68"/>
    </row>
    <row r="1391" spans="1:6" x14ac:dyDescent="0.3">
      <c r="A1391" s="103"/>
      <c r="B1391" s="105"/>
      <c r="C1391" s="70"/>
      <c r="D1391" s="62"/>
      <c r="E1391" s="68"/>
      <c r="F1391" s="68"/>
    </row>
    <row r="1392" spans="1:6" x14ac:dyDescent="0.3">
      <c r="A1392" s="103"/>
      <c r="B1392" s="105"/>
      <c r="C1392" s="70"/>
      <c r="D1392" s="62"/>
      <c r="E1392" s="68"/>
      <c r="F1392" s="68"/>
    </row>
    <row r="1393" spans="1:6" x14ac:dyDescent="0.3">
      <c r="A1393" s="103"/>
      <c r="B1393" s="105"/>
      <c r="C1393" s="70"/>
      <c r="D1393" s="62"/>
      <c r="E1393" s="68"/>
      <c r="F1393" s="68"/>
    </row>
    <row r="1394" spans="1:6" x14ac:dyDescent="0.3">
      <c r="A1394" s="103"/>
      <c r="B1394" s="105"/>
      <c r="C1394" s="70"/>
      <c r="D1394" s="62"/>
      <c r="E1394" s="68"/>
      <c r="F1394" s="68"/>
    </row>
    <row r="1395" spans="1:6" x14ac:dyDescent="0.3">
      <c r="A1395" s="103"/>
      <c r="B1395" s="105"/>
      <c r="C1395" s="70"/>
      <c r="D1395" s="62"/>
      <c r="E1395" s="68"/>
      <c r="F1395" s="68"/>
    </row>
    <row r="1396" spans="1:6" x14ac:dyDescent="0.3">
      <c r="A1396" s="103"/>
      <c r="B1396" s="105"/>
      <c r="C1396" s="70"/>
      <c r="D1396" s="62"/>
      <c r="E1396" s="68"/>
      <c r="F1396" s="68"/>
    </row>
    <row r="1397" spans="1:6" x14ac:dyDescent="0.3">
      <c r="A1397" s="103"/>
      <c r="B1397" s="105"/>
      <c r="C1397" s="70"/>
      <c r="D1397" s="62"/>
      <c r="E1397" s="68"/>
      <c r="F1397" s="68"/>
    </row>
    <row r="1398" spans="1:6" x14ac:dyDescent="0.3">
      <c r="A1398" s="103"/>
      <c r="B1398" s="105"/>
      <c r="C1398" s="70"/>
      <c r="D1398" s="62"/>
      <c r="E1398" s="68"/>
      <c r="F1398" s="68"/>
    </row>
    <row r="1399" spans="1:6" x14ac:dyDescent="0.3">
      <c r="A1399" s="103"/>
      <c r="B1399" s="105"/>
      <c r="C1399" s="70"/>
      <c r="D1399" s="62"/>
      <c r="E1399" s="68"/>
      <c r="F1399" s="68"/>
    </row>
    <row r="1400" spans="1:6" x14ac:dyDescent="0.3">
      <c r="A1400" s="103"/>
      <c r="B1400" s="105"/>
      <c r="C1400" s="70"/>
      <c r="D1400" s="62"/>
      <c r="E1400" s="68"/>
      <c r="F1400" s="68"/>
    </row>
    <row r="1401" spans="1:6" x14ac:dyDescent="0.3">
      <c r="A1401" s="103"/>
      <c r="B1401" s="105"/>
      <c r="C1401" s="70"/>
      <c r="D1401" s="62"/>
      <c r="E1401" s="68"/>
      <c r="F1401" s="68"/>
    </row>
    <row r="1402" spans="1:6" x14ac:dyDescent="0.3">
      <c r="A1402" s="103"/>
      <c r="B1402" s="105"/>
      <c r="C1402" s="70"/>
      <c r="D1402" s="62"/>
      <c r="E1402" s="68"/>
      <c r="F1402" s="68"/>
    </row>
    <row r="1403" spans="1:6" x14ac:dyDescent="0.3">
      <c r="A1403" s="103"/>
      <c r="B1403" s="105"/>
      <c r="C1403" s="70"/>
      <c r="D1403" s="62"/>
      <c r="E1403" s="68"/>
      <c r="F1403" s="68"/>
    </row>
    <row r="1404" spans="1:6" x14ac:dyDescent="0.3">
      <c r="A1404" s="103"/>
      <c r="B1404" s="105"/>
      <c r="C1404" s="70"/>
      <c r="D1404" s="62"/>
      <c r="E1404" s="68"/>
      <c r="F1404" s="68"/>
    </row>
    <row r="1405" spans="1:6" x14ac:dyDescent="0.3">
      <c r="A1405" s="103"/>
      <c r="B1405" s="105"/>
      <c r="C1405" s="70"/>
      <c r="D1405" s="62"/>
      <c r="E1405" s="68"/>
      <c r="F1405" s="68"/>
    </row>
    <row r="1406" spans="1:6" x14ac:dyDescent="0.3">
      <c r="A1406" s="103"/>
      <c r="B1406" s="105"/>
      <c r="C1406" s="70"/>
      <c r="D1406" s="62"/>
      <c r="E1406" s="68"/>
      <c r="F1406" s="68"/>
    </row>
    <row r="1407" spans="1:6" x14ac:dyDescent="0.3">
      <c r="A1407" s="103"/>
      <c r="B1407" s="105"/>
      <c r="C1407" s="70"/>
      <c r="D1407" s="62"/>
      <c r="E1407" s="68"/>
      <c r="F1407" s="68"/>
    </row>
    <row r="1408" spans="1:6" x14ac:dyDescent="0.3">
      <c r="A1408" s="103"/>
      <c r="B1408" s="105"/>
      <c r="C1408" s="70"/>
      <c r="D1408" s="62"/>
      <c r="E1408" s="68"/>
      <c r="F1408" s="68"/>
    </row>
    <row r="1409" spans="1:6" x14ac:dyDescent="0.3">
      <c r="A1409" s="103"/>
      <c r="B1409" s="105"/>
      <c r="C1409" s="70"/>
      <c r="D1409" s="62"/>
      <c r="E1409" s="68"/>
      <c r="F1409" s="68"/>
    </row>
    <row r="1410" spans="1:6" x14ac:dyDescent="0.3">
      <c r="A1410" s="103"/>
      <c r="B1410" s="105"/>
      <c r="C1410" s="70"/>
      <c r="D1410" s="62"/>
      <c r="E1410" s="68"/>
      <c r="F1410" s="68"/>
    </row>
    <row r="1411" spans="1:6" x14ac:dyDescent="0.3">
      <c r="A1411" s="103"/>
      <c r="B1411" s="105"/>
      <c r="C1411" s="70"/>
      <c r="D1411" s="62"/>
      <c r="E1411" s="68"/>
      <c r="F1411" s="68"/>
    </row>
    <row r="1412" spans="1:6" x14ac:dyDescent="0.3">
      <c r="A1412" s="103"/>
      <c r="B1412" s="105"/>
      <c r="C1412" s="70"/>
      <c r="D1412" s="62"/>
      <c r="E1412" s="68"/>
      <c r="F1412" s="68"/>
    </row>
    <row r="1413" spans="1:6" x14ac:dyDescent="0.3">
      <c r="A1413" s="103"/>
      <c r="B1413" s="105"/>
      <c r="C1413" s="70"/>
      <c r="D1413" s="62"/>
      <c r="E1413" s="68"/>
      <c r="F1413" s="68"/>
    </row>
    <row r="1414" spans="1:6" x14ac:dyDescent="0.3">
      <c r="A1414" s="103"/>
      <c r="B1414" s="105"/>
      <c r="C1414" s="70"/>
      <c r="D1414" s="62"/>
      <c r="E1414" s="68"/>
      <c r="F1414" s="68"/>
    </row>
    <row r="1415" spans="1:6" x14ac:dyDescent="0.3">
      <c r="A1415" s="103"/>
      <c r="B1415" s="105"/>
      <c r="C1415" s="70"/>
      <c r="D1415" s="62"/>
      <c r="E1415" s="68"/>
      <c r="F1415" s="68"/>
    </row>
    <row r="1416" spans="1:6" x14ac:dyDescent="0.3">
      <c r="A1416" s="103"/>
      <c r="B1416" s="105"/>
      <c r="C1416" s="70"/>
      <c r="D1416" s="62"/>
      <c r="E1416" s="68"/>
      <c r="F1416" s="68"/>
    </row>
    <row r="1417" spans="1:6" x14ac:dyDescent="0.3">
      <c r="A1417" s="103"/>
      <c r="B1417" s="105"/>
      <c r="C1417" s="70"/>
      <c r="D1417" s="62"/>
      <c r="E1417" s="68"/>
      <c r="F1417" s="68"/>
    </row>
    <row r="1418" spans="1:6" x14ac:dyDescent="0.3">
      <c r="A1418" s="103"/>
      <c r="B1418" s="105"/>
      <c r="C1418" s="70"/>
      <c r="D1418" s="62"/>
      <c r="E1418" s="68"/>
      <c r="F1418" s="68"/>
    </row>
    <row r="1419" spans="1:6" x14ac:dyDescent="0.3">
      <c r="A1419" s="103"/>
      <c r="B1419" s="105"/>
      <c r="C1419" s="70"/>
      <c r="D1419" s="62"/>
      <c r="E1419" s="68"/>
      <c r="F1419" s="68"/>
    </row>
    <row r="1420" spans="1:6" x14ac:dyDescent="0.3">
      <c r="A1420" s="103"/>
      <c r="B1420" s="105"/>
      <c r="C1420" s="70"/>
      <c r="D1420" s="62"/>
      <c r="E1420" s="68"/>
      <c r="F1420" s="68"/>
    </row>
    <row r="1421" spans="1:6" x14ac:dyDescent="0.3">
      <c r="A1421" s="103"/>
      <c r="B1421" s="105"/>
      <c r="C1421" s="70"/>
      <c r="D1421" s="62"/>
      <c r="E1421" s="68"/>
      <c r="F1421" s="68"/>
    </row>
    <row r="1422" spans="1:6" x14ac:dyDescent="0.3">
      <c r="A1422" s="103"/>
      <c r="B1422" s="105"/>
      <c r="C1422" s="70"/>
      <c r="D1422" s="62"/>
      <c r="E1422" s="68"/>
      <c r="F1422" s="68"/>
    </row>
    <row r="1423" spans="1:6" x14ac:dyDescent="0.3">
      <c r="A1423" s="103"/>
      <c r="B1423" s="105"/>
      <c r="C1423" s="70"/>
      <c r="D1423" s="62"/>
      <c r="E1423" s="68"/>
      <c r="F1423" s="68"/>
    </row>
    <row r="1424" spans="1:6" x14ac:dyDescent="0.3">
      <c r="A1424" s="103"/>
      <c r="B1424" s="105"/>
      <c r="C1424" s="70"/>
      <c r="D1424" s="62"/>
      <c r="E1424" s="68"/>
      <c r="F1424" s="68"/>
    </row>
    <row r="1425" spans="1:6" x14ac:dyDescent="0.3">
      <c r="A1425" s="103"/>
      <c r="B1425" s="105"/>
      <c r="C1425" s="70"/>
      <c r="D1425" s="62"/>
      <c r="E1425" s="68"/>
      <c r="F1425" s="68"/>
    </row>
    <row r="1426" spans="1:6" x14ac:dyDescent="0.3">
      <c r="A1426" s="103"/>
      <c r="B1426" s="105"/>
      <c r="C1426" s="70"/>
      <c r="D1426" s="62"/>
      <c r="E1426" s="68"/>
      <c r="F1426" s="68"/>
    </row>
    <row r="1427" spans="1:6" x14ac:dyDescent="0.3">
      <c r="A1427" s="103"/>
      <c r="B1427" s="105"/>
      <c r="C1427" s="70"/>
      <c r="D1427" s="62"/>
      <c r="E1427" s="68"/>
      <c r="F1427" s="68"/>
    </row>
    <row r="1428" spans="1:6" x14ac:dyDescent="0.3">
      <c r="A1428" s="103"/>
      <c r="B1428" s="105"/>
      <c r="C1428" s="70"/>
      <c r="D1428" s="62"/>
      <c r="E1428" s="68"/>
      <c r="F1428" s="68"/>
    </row>
    <row r="1429" spans="1:6" x14ac:dyDescent="0.3">
      <c r="A1429" s="103"/>
      <c r="B1429" s="105"/>
      <c r="C1429" s="70"/>
      <c r="D1429" s="62"/>
      <c r="E1429" s="68"/>
      <c r="F1429" s="68"/>
    </row>
    <row r="1430" spans="1:6" x14ac:dyDescent="0.3">
      <c r="A1430" s="103"/>
      <c r="B1430" s="105"/>
      <c r="C1430" s="70"/>
      <c r="D1430" s="62"/>
      <c r="E1430" s="68"/>
      <c r="F1430" s="68"/>
    </row>
    <row r="1431" spans="1:6" x14ac:dyDescent="0.3">
      <c r="A1431" s="103"/>
      <c r="B1431" s="105"/>
      <c r="C1431" s="70"/>
      <c r="D1431" s="62"/>
      <c r="E1431" s="68"/>
      <c r="F1431" s="68"/>
    </row>
    <row r="1432" spans="1:6" x14ac:dyDescent="0.3">
      <c r="A1432" s="103"/>
      <c r="B1432" s="105"/>
      <c r="C1432" s="70"/>
      <c r="D1432" s="62"/>
      <c r="E1432" s="68"/>
      <c r="F1432" s="68"/>
    </row>
    <row r="1433" spans="1:6" x14ac:dyDescent="0.3">
      <c r="A1433" s="103"/>
      <c r="B1433" s="105"/>
      <c r="C1433" s="70"/>
      <c r="D1433" s="62"/>
      <c r="E1433" s="68"/>
      <c r="F1433" s="68"/>
    </row>
    <row r="1434" spans="1:6" x14ac:dyDescent="0.3">
      <c r="A1434" s="103"/>
      <c r="B1434" s="105"/>
      <c r="C1434" s="70"/>
      <c r="D1434" s="62"/>
      <c r="E1434" s="68"/>
      <c r="F1434" s="68"/>
    </row>
    <row r="1435" spans="1:6" x14ac:dyDescent="0.3">
      <c r="A1435" s="103"/>
      <c r="B1435" s="105"/>
      <c r="C1435" s="70"/>
      <c r="D1435" s="62"/>
      <c r="E1435" s="68"/>
      <c r="F1435" s="68"/>
    </row>
    <row r="1436" spans="1:6" x14ac:dyDescent="0.3">
      <c r="A1436" s="103"/>
      <c r="B1436" s="105"/>
      <c r="C1436" s="70"/>
      <c r="D1436" s="62"/>
      <c r="E1436" s="68"/>
      <c r="F1436" s="68"/>
    </row>
    <row r="1437" spans="1:6" x14ac:dyDescent="0.3">
      <c r="A1437" s="103"/>
      <c r="B1437" s="105"/>
      <c r="C1437" s="70"/>
      <c r="D1437" s="62"/>
      <c r="E1437" s="68"/>
      <c r="F1437" s="68"/>
    </row>
    <row r="1438" spans="1:6" x14ac:dyDescent="0.3">
      <c r="A1438" s="103"/>
      <c r="B1438" s="105"/>
      <c r="C1438" s="70"/>
      <c r="D1438" s="62"/>
      <c r="E1438" s="68"/>
      <c r="F1438" s="68"/>
    </row>
    <row r="1439" spans="1:6" x14ac:dyDescent="0.3">
      <c r="A1439" s="103"/>
      <c r="B1439" s="105"/>
      <c r="C1439" s="70"/>
      <c r="D1439" s="62"/>
      <c r="E1439" s="68"/>
      <c r="F1439" s="68"/>
    </row>
    <row r="1440" spans="1:6" x14ac:dyDescent="0.3">
      <c r="A1440" s="103"/>
      <c r="B1440" s="105"/>
      <c r="C1440" s="70"/>
      <c r="D1440" s="62"/>
      <c r="E1440" s="68"/>
      <c r="F1440" s="68"/>
    </row>
    <row r="1441" spans="1:6" x14ac:dyDescent="0.3">
      <c r="A1441" s="103"/>
      <c r="B1441" s="105"/>
      <c r="C1441" s="70"/>
      <c r="D1441" s="62"/>
      <c r="E1441" s="68"/>
      <c r="F1441" s="68"/>
    </row>
    <row r="1442" spans="1:6" x14ac:dyDescent="0.3">
      <c r="A1442" s="103"/>
      <c r="B1442" s="105"/>
      <c r="C1442" s="70"/>
      <c r="D1442" s="62"/>
      <c r="E1442" s="68"/>
      <c r="F1442" s="68"/>
    </row>
    <row r="1443" spans="1:6" x14ac:dyDescent="0.3">
      <c r="A1443" s="103"/>
      <c r="B1443" s="105"/>
      <c r="C1443" s="70"/>
      <c r="D1443" s="62"/>
      <c r="E1443" s="68"/>
      <c r="F1443" s="68"/>
    </row>
    <row r="1444" spans="1:6" x14ac:dyDescent="0.3">
      <c r="A1444" s="103"/>
      <c r="B1444" s="105"/>
      <c r="C1444" s="70"/>
      <c r="D1444" s="62"/>
      <c r="E1444" s="68"/>
      <c r="F1444" s="68"/>
    </row>
    <row r="1445" spans="1:6" x14ac:dyDescent="0.3">
      <c r="A1445" s="103"/>
      <c r="B1445" s="105"/>
      <c r="C1445" s="70"/>
      <c r="D1445" s="62"/>
      <c r="E1445" s="68"/>
      <c r="F1445" s="68"/>
    </row>
    <row r="1446" spans="1:6" x14ac:dyDescent="0.3">
      <c r="A1446" s="103"/>
      <c r="B1446" s="105"/>
      <c r="C1446" s="70"/>
      <c r="D1446" s="62"/>
      <c r="E1446" s="68"/>
      <c r="F1446" s="68"/>
    </row>
    <row r="1447" spans="1:6" x14ac:dyDescent="0.3">
      <c r="A1447" s="103"/>
      <c r="B1447" s="105"/>
      <c r="C1447" s="70"/>
      <c r="D1447" s="62"/>
      <c r="E1447" s="68"/>
      <c r="F1447" s="68"/>
    </row>
    <row r="1448" spans="1:6" x14ac:dyDescent="0.3">
      <c r="A1448" s="103"/>
      <c r="B1448" s="105"/>
      <c r="C1448" s="70"/>
      <c r="D1448" s="62"/>
      <c r="E1448" s="68"/>
      <c r="F1448" s="68"/>
    </row>
    <row r="1449" spans="1:6" x14ac:dyDescent="0.3">
      <c r="A1449" s="103"/>
      <c r="B1449" s="105"/>
      <c r="C1449" s="70"/>
      <c r="D1449" s="62"/>
      <c r="E1449" s="68"/>
      <c r="F1449" s="68"/>
    </row>
    <row r="1450" spans="1:6" x14ac:dyDescent="0.3">
      <c r="A1450" s="103"/>
      <c r="B1450" s="105"/>
      <c r="C1450" s="70"/>
      <c r="D1450" s="62"/>
      <c r="E1450" s="68"/>
      <c r="F1450" s="68"/>
    </row>
    <row r="1451" spans="1:6" x14ac:dyDescent="0.3">
      <c r="A1451" s="103"/>
      <c r="B1451" s="105"/>
      <c r="C1451" s="70"/>
      <c r="D1451" s="62"/>
      <c r="E1451" s="68"/>
      <c r="F1451" s="68"/>
    </row>
    <row r="1452" spans="1:6" x14ac:dyDescent="0.3">
      <c r="A1452" s="103"/>
      <c r="B1452" s="105"/>
      <c r="C1452" s="70"/>
      <c r="D1452" s="62"/>
      <c r="E1452" s="68"/>
      <c r="F1452" s="68"/>
    </row>
    <row r="1453" spans="1:6" x14ac:dyDescent="0.3">
      <c r="A1453" s="103"/>
      <c r="B1453" s="105"/>
      <c r="C1453" s="70"/>
      <c r="D1453" s="62"/>
      <c r="E1453" s="68"/>
      <c r="F1453" s="68"/>
    </row>
    <row r="1454" spans="1:6" x14ac:dyDescent="0.3">
      <c r="A1454" s="103"/>
      <c r="B1454" s="105"/>
      <c r="C1454" s="70"/>
      <c r="D1454" s="62"/>
      <c r="E1454" s="68"/>
      <c r="F1454" s="68"/>
    </row>
    <row r="1455" spans="1:6" x14ac:dyDescent="0.3">
      <c r="A1455" s="103"/>
      <c r="B1455" s="105"/>
      <c r="C1455" s="70"/>
      <c r="D1455" s="62"/>
      <c r="E1455" s="68"/>
      <c r="F1455" s="68"/>
    </row>
    <row r="1456" spans="1:6" x14ac:dyDescent="0.3">
      <c r="A1456" s="103"/>
      <c r="B1456" s="105"/>
      <c r="C1456" s="70"/>
      <c r="D1456" s="62"/>
      <c r="E1456" s="68"/>
      <c r="F1456" s="68"/>
    </row>
    <row r="1457" spans="1:6" x14ac:dyDescent="0.3">
      <c r="A1457" s="103"/>
      <c r="B1457" s="105"/>
      <c r="C1457" s="70"/>
      <c r="D1457" s="62"/>
      <c r="E1457" s="68"/>
      <c r="F1457" s="68"/>
    </row>
    <row r="1458" spans="1:6" x14ac:dyDescent="0.3">
      <c r="A1458" s="103"/>
      <c r="B1458" s="105"/>
      <c r="C1458" s="70"/>
      <c r="D1458" s="62"/>
      <c r="E1458" s="68"/>
      <c r="F1458" s="68"/>
    </row>
    <row r="1459" spans="1:6" x14ac:dyDescent="0.3">
      <c r="A1459" s="103"/>
      <c r="B1459" s="105"/>
      <c r="C1459" s="70"/>
      <c r="D1459" s="62"/>
      <c r="E1459" s="68"/>
      <c r="F1459" s="68"/>
    </row>
    <row r="1460" spans="1:6" x14ac:dyDescent="0.3">
      <c r="A1460" s="103"/>
      <c r="B1460" s="105"/>
      <c r="C1460" s="70"/>
      <c r="D1460" s="62"/>
      <c r="E1460" s="68"/>
      <c r="F1460" s="68"/>
    </row>
    <row r="1461" spans="1:6" x14ac:dyDescent="0.3">
      <c r="A1461" s="103"/>
      <c r="B1461" s="105"/>
      <c r="C1461" s="70"/>
      <c r="D1461" s="62"/>
      <c r="E1461" s="68"/>
      <c r="F1461" s="68"/>
    </row>
    <row r="1462" spans="1:6" x14ac:dyDescent="0.3">
      <c r="A1462" s="103"/>
      <c r="B1462" s="105"/>
      <c r="C1462" s="70"/>
      <c r="D1462" s="62"/>
      <c r="E1462" s="68"/>
      <c r="F1462" s="68"/>
    </row>
    <row r="1463" spans="1:6" x14ac:dyDescent="0.3">
      <c r="A1463" s="103"/>
      <c r="B1463" s="105"/>
      <c r="C1463" s="70"/>
      <c r="D1463" s="62"/>
      <c r="E1463" s="68"/>
      <c r="F1463" s="68"/>
    </row>
    <row r="1464" spans="1:6" x14ac:dyDescent="0.3">
      <c r="A1464" s="103"/>
      <c r="B1464" s="105"/>
      <c r="C1464" s="70"/>
      <c r="D1464" s="62"/>
      <c r="E1464" s="68"/>
      <c r="F1464" s="68"/>
    </row>
    <row r="1465" spans="1:6" x14ac:dyDescent="0.3">
      <c r="A1465" s="103"/>
      <c r="B1465" s="105"/>
      <c r="C1465" s="70"/>
      <c r="D1465" s="62"/>
      <c r="E1465" s="68"/>
      <c r="F1465" s="68"/>
    </row>
    <row r="1466" spans="1:6" x14ac:dyDescent="0.3">
      <c r="A1466" s="103"/>
      <c r="B1466" s="105"/>
      <c r="C1466" s="70"/>
      <c r="D1466" s="62"/>
      <c r="E1466" s="68"/>
      <c r="F1466" s="68"/>
    </row>
    <row r="1467" spans="1:6" x14ac:dyDescent="0.3">
      <c r="A1467" s="103"/>
      <c r="B1467" s="105"/>
      <c r="C1467" s="70"/>
      <c r="D1467" s="62"/>
      <c r="E1467" s="68"/>
      <c r="F1467" s="68"/>
    </row>
    <row r="1468" spans="1:6" x14ac:dyDescent="0.3">
      <c r="A1468" s="103"/>
      <c r="B1468" s="105"/>
      <c r="C1468" s="70"/>
      <c r="D1468" s="62"/>
      <c r="E1468" s="68"/>
      <c r="F1468" s="68"/>
    </row>
    <row r="1469" spans="1:6" x14ac:dyDescent="0.3">
      <c r="A1469" s="103"/>
      <c r="B1469" s="105"/>
      <c r="C1469" s="70"/>
      <c r="D1469" s="62"/>
      <c r="E1469" s="68"/>
      <c r="F1469" s="68"/>
    </row>
    <row r="1470" spans="1:6" x14ac:dyDescent="0.3">
      <c r="A1470" s="103"/>
      <c r="B1470" s="105"/>
      <c r="C1470" s="70"/>
      <c r="D1470" s="62"/>
      <c r="E1470" s="68"/>
      <c r="F1470" s="68"/>
    </row>
    <row r="1471" spans="1:6" x14ac:dyDescent="0.3">
      <c r="A1471" s="103"/>
      <c r="B1471" s="105"/>
      <c r="C1471" s="70"/>
      <c r="D1471" s="62"/>
      <c r="E1471" s="68"/>
      <c r="F1471" s="68"/>
    </row>
    <row r="1472" spans="1:6" x14ac:dyDescent="0.3">
      <c r="A1472" s="103"/>
      <c r="B1472" s="105"/>
      <c r="C1472" s="70"/>
      <c r="D1472" s="62"/>
      <c r="E1472" s="68"/>
      <c r="F1472" s="68"/>
    </row>
    <row r="1473" spans="1:6" x14ac:dyDescent="0.3">
      <c r="A1473" s="103"/>
      <c r="B1473" s="105"/>
      <c r="C1473" s="70"/>
      <c r="D1473" s="62"/>
      <c r="E1473" s="68"/>
      <c r="F1473" s="68"/>
    </row>
    <row r="1474" spans="1:6" x14ac:dyDescent="0.3">
      <c r="A1474" s="103"/>
      <c r="B1474" s="105"/>
      <c r="C1474" s="70"/>
      <c r="D1474" s="62"/>
      <c r="E1474" s="68"/>
      <c r="F1474" s="68"/>
    </row>
    <row r="1475" spans="1:6" x14ac:dyDescent="0.3">
      <c r="A1475" s="103"/>
      <c r="B1475" s="105"/>
      <c r="C1475" s="70"/>
      <c r="D1475" s="62"/>
      <c r="E1475" s="68"/>
      <c r="F1475" s="68"/>
    </row>
    <row r="1476" spans="1:6" x14ac:dyDescent="0.3">
      <c r="A1476" s="103"/>
      <c r="B1476" s="105"/>
      <c r="C1476" s="70"/>
      <c r="D1476" s="62"/>
      <c r="E1476" s="68"/>
      <c r="F1476" s="68"/>
    </row>
    <row r="1477" spans="1:6" x14ac:dyDescent="0.3">
      <c r="A1477" s="103"/>
      <c r="B1477" s="105"/>
      <c r="C1477" s="70"/>
      <c r="D1477" s="62"/>
      <c r="E1477" s="68"/>
      <c r="F1477" s="68"/>
    </row>
    <row r="1478" spans="1:6" x14ac:dyDescent="0.3">
      <c r="A1478" s="103"/>
      <c r="B1478" s="105"/>
      <c r="C1478" s="70"/>
      <c r="D1478" s="62"/>
      <c r="E1478" s="68"/>
      <c r="F1478" s="68"/>
    </row>
    <row r="1479" spans="1:6" x14ac:dyDescent="0.3">
      <c r="A1479" s="103"/>
      <c r="B1479" s="105"/>
      <c r="C1479" s="70"/>
      <c r="D1479" s="62"/>
      <c r="E1479" s="68"/>
      <c r="F1479" s="68"/>
    </row>
    <row r="1480" spans="1:6" x14ac:dyDescent="0.3">
      <c r="A1480" s="103"/>
      <c r="B1480" s="105"/>
      <c r="C1480" s="70"/>
      <c r="D1480" s="62"/>
      <c r="E1480" s="68"/>
      <c r="F1480" s="68"/>
    </row>
    <row r="1481" spans="1:6" x14ac:dyDescent="0.3">
      <c r="A1481" s="103"/>
      <c r="B1481" s="105"/>
      <c r="C1481" s="70"/>
      <c r="D1481" s="62"/>
      <c r="E1481" s="68"/>
      <c r="F1481" s="68"/>
    </row>
    <row r="1482" spans="1:6" x14ac:dyDescent="0.3">
      <c r="A1482" s="103"/>
      <c r="B1482" s="105"/>
      <c r="C1482" s="70"/>
      <c r="D1482" s="62"/>
      <c r="E1482" s="68"/>
      <c r="F1482" s="68"/>
    </row>
    <row r="1483" spans="1:6" x14ac:dyDescent="0.3">
      <c r="A1483" s="103"/>
      <c r="B1483" s="105"/>
      <c r="C1483" s="70"/>
      <c r="D1483" s="62"/>
      <c r="E1483" s="68"/>
      <c r="F1483" s="68"/>
    </row>
    <row r="1484" spans="1:6" x14ac:dyDescent="0.3">
      <c r="A1484" s="103"/>
      <c r="B1484" s="105"/>
      <c r="C1484" s="70"/>
      <c r="D1484" s="62"/>
      <c r="E1484" s="68"/>
      <c r="F1484" s="68"/>
    </row>
    <row r="1485" spans="1:6" x14ac:dyDescent="0.3">
      <c r="A1485" s="103"/>
      <c r="B1485" s="105"/>
      <c r="C1485" s="70"/>
      <c r="D1485" s="62"/>
      <c r="E1485" s="68"/>
      <c r="F1485" s="68"/>
    </row>
    <row r="1486" spans="1:6" x14ac:dyDescent="0.3">
      <c r="A1486" s="103"/>
      <c r="B1486" s="105"/>
      <c r="C1486" s="70"/>
      <c r="D1486" s="62"/>
      <c r="E1486" s="68"/>
      <c r="F1486" s="68"/>
    </row>
    <row r="1487" spans="1:6" x14ac:dyDescent="0.3">
      <c r="A1487" s="103"/>
      <c r="B1487" s="105"/>
      <c r="C1487" s="70"/>
      <c r="D1487" s="62"/>
      <c r="E1487" s="68"/>
      <c r="F1487" s="68"/>
    </row>
    <row r="1488" spans="1:6" x14ac:dyDescent="0.3">
      <c r="A1488" s="103"/>
      <c r="B1488" s="105"/>
      <c r="C1488" s="70"/>
      <c r="D1488" s="62"/>
      <c r="E1488" s="68"/>
      <c r="F1488" s="68"/>
    </row>
    <row r="1489" spans="1:6" x14ac:dyDescent="0.3">
      <c r="A1489" s="103"/>
      <c r="B1489" s="105"/>
      <c r="C1489" s="70"/>
      <c r="D1489" s="62"/>
      <c r="E1489" s="68"/>
      <c r="F1489" s="68"/>
    </row>
    <row r="1490" spans="1:6" x14ac:dyDescent="0.3">
      <c r="A1490" s="103"/>
      <c r="B1490" s="105"/>
      <c r="C1490" s="70"/>
      <c r="D1490" s="62"/>
      <c r="E1490" s="68"/>
      <c r="F1490" s="68"/>
    </row>
    <row r="1491" spans="1:6" x14ac:dyDescent="0.3">
      <c r="A1491" s="103"/>
      <c r="B1491" s="105"/>
      <c r="C1491" s="70"/>
      <c r="D1491" s="62"/>
      <c r="E1491" s="68"/>
      <c r="F1491" s="68"/>
    </row>
    <row r="1492" spans="1:6" x14ac:dyDescent="0.3">
      <c r="A1492" s="103"/>
      <c r="B1492" s="105"/>
      <c r="C1492" s="70"/>
      <c r="D1492" s="62"/>
      <c r="E1492" s="68"/>
      <c r="F1492" s="68"/>
    </row>
    <row r="1493" spans="1:6" x14ac:dyDescent="0.3">
      <c r="A1493" s="103"/>
      <c r="B1493" s="105"/>
      <c r="C1493" s="70"/>
      <c r="D1493" s="62"/>
      <c r="E1493" s="68"/>
      <c r="F1493" s="68"/>
    </row>
    <row r="1494" spans="1:6" x14ac:dyDescent="0.3">
      <c r="A1494" s="103"/>
      <c r="B1494" s="105"/>
      <c r="C1494" s="70"/>
      <c r="D1494" s="62"/>
      <c r="E1494" s="68"/>
      <c r="F1494" s="68"/>
    </row>
    <row r="1495" spans="1:6" x14ac:dyDescent="0.3">
      <c r="A1495" s="103"/>
      <c r="B1495" s="105"/>
      <c r="C1495" s="70"/>
      <c r="D1495" s="62"/>
      <c r="E1495" s="68"/>
      <c r="F1495" s="68"/>
    </row>
    <row r="1496" spans="1:6" x14ac:dyDescent="0.3">
      <c r="A1496" s="103"/>
      <c r="B1496" s="105"/>
      <c r="C1496" s="70"/>
      <c r="D1496" s="62"/>
      <c r="E1496" s="68"/>
      <c r="F1496" s="68"/>
    </row>
    <row r="1497" spans="1:6" x14ac:dyDescent="0.3">
      <c r="A1497" s="103"/>
      <c r="B1497" s="105"/>
      <c r="C1497" s="70"/>
      <c r="D1497" s="62"/>
      <c r="E1497" s="68"/>
      <c r="F1497" s="68"/>
    </row>
    <row r="1498" spans="1:6" x14ac:dyDescent="0.3">
      <c r="A1498" s="103"/>
      <c r="B1498" s="105"/>
      <c r="C1498" s="70"/>
      <c r="D1498" s="62"/>
      <c r="E1498" s="68"/>
      <c r="F1498" s="68"/>
    </row>
    <row r="1499" spans="1:6" x14ac:dyDescent="0.3">
      <c r="A1499" s="103"/>
      <c r="B1499" s="105"/>
      <c r="C1499" s="70"/>
      <c r="D1499" s="62"/>
      <c r="E1499" s="68"/>
      <c r="F1499" s="68"/>
    </row>
    <row r="1500" spans="1:6" x14ac:dyDescent="0.3">
      <c r="A1500" s="103"/>
      <c r="B1500" s="105"/>
      <c r="C1500" s="70"/>
      <c r="D1500" s="62"/>
      <c r="E1500" s="68"/>
      <c r="F1500" s="68"/>
    </row>
    <row r="1501" spans="1:6" x14ac:dyDescent="0.3">
      <c r="A1501" s="103"/>
      <c r="B1501" s="105"/>
      <c r="C1501" s="70"/>
      <c r="D1501" s="62"/>
      <c r="E1501" s="68"/>
      <c r="F1501" s="6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411"/>
  <sheetViews>
    <sheetView workbookViewId="0">
      <selection activeCell="C9" sqref="C9"/>
    </sheetView>
  </sheetViews>
  <sheetFormatPr baseColWidth="10" defaultRowHeight="14.4" x14ac:dyDescent="0.3"/>
  <cols>
    <col min="1" max="1" width="11.6640625" style="140" bestFit="1" customWidth="1"/>
    <col min="2" max="2" width="22.88671875" style="64" customWidth="1"/>
    <col min="3" max="3" width="50.88671875" customWidth="1"/>
    <col min="4" max="4" width="21.88671875" customWidth="1"/>
  </cols>
  <sheetData>
    <row r="1" spans="1:4" x14ac:dyDescent="0.3">
      <c r="A1" s="140" t="s">
        <v>547</v>
      </c>
      <c r="B1" s="64" t="s">
        <v>602</v>
      </c>
      <c r="C1" t="s">
        <v>34</v>
      </c>
      <c r="D1" t="s">
        <v>548</v>
      </c>
    </row>
    <row r="2" spans="1:4" hidden="1" x14ac:dyDescent="0.3">
      <c r="A2" s="140">
        <v>753</v>
      </c>
      <c r="B2" s="64" t="s">
        <v>603</v>
      </c>
      <c r="C2" t="s">
        <v>561</v>
      </c>
      <c r="D2" t="s">
        <v>550</v>
      </c>
    </row>
    <row r="3" spans="1:4" hidden="1" x14ac:dyDescent="0.3">
      <c r="A3" s="140">
        <v>785</v>
      </c>
      <c r="B3" s="64" t="s">
        <v>604</v>
      </c>
      <c r="C3" t="s">
        <v>561</v>
      </c>
      <c r="D3" t="s">
        <v>550</v>
      </c>
    </row>
    <row r="4" spans="1:4" hidden="1" x14ac:dyDescent="0.3">
      <c r="A4" s="140">
        <v>881</v>
      </c>
      <c r="B4" s="64" t="s">
        <v>605</v>
      </c>
      <c r="C4" t="s">
        <v>561</v>
      </c>
      <c r="D4" t="s">
        <v>550</v>
      </c>
    </row>
    <row r="5" spans="1:4" hidden="1" x14ac:dyDescent="0.3">
      <c r="A5" s="140">
        <v>1260</v>
      </c>
      <c r="B5" s="64" t="s">
        <v>606</v>
      </c>
      <c r="C5" t="s">
        <v>585</v>
      </c>
      <c r="D5" t="s">
        <v>551</v>
      </c>
    </row>
    <row r="6" spans="1:4" hidden="1" x14ac:dyDescent="0.3">
      <c r="A6" s="140">
        <v>1270</v>
      </c>
      <c r="B6" s="64" t="s">
        <v>607</v>
      </c>
      <c r="C6" t="s">
        <v>559</v>
      </c>
      <c r="D6" t="s">
        <v>551</v>
      </c>
    </row>
    <row r="7" spans="1:4" hidden="1" x14ac:dyDescent="0.3">
      <c r="A7" s="140">
        <v>1315</v>
      </c>
      <c r="B7" s="64" t="s">
        <v>608</v>
      </c>
      <c r="C7" t="s">
        <v>552</v>
      </c>
      <c r="D7" t="s">
        <v>551</v>
      </c>
    </row>
    <row r="8" spans="1:4" hidden="1" x14ac:dyDescent="0.3">
      <c r="A8" s="140">
        <v>1352</v>
      </c>
      <c r="B8" s="64" t="s">
        <v>609</v>
      </c>
      <c r="C8" t="s">
        <v>559</v>
      </c>
      <c r="D8" t="s">
        <v>551</v>
      </c>
    </row>
    <row r="9" spans="1:4" hidden="1" x14ac:dyDescent="0.3">
      <c r="A9" s="140">
        <v>1365</v>
      </c>
      <c r="B9" s="64" t="s">
        <v>610</v>
      </c>
      <c r="C9" t="s">
        <v>552</v>
      </c>
      <c r="D9" t="s">
        <v>551</v>
      </c>
    </row>
    <row r="10" spans="1:4" hidden="1" x14ac:dyDescent="0.3">
      <c r="A10" s="140">
        <v>1544</v>
      </c>
      <c r="B10" s="64" t="s">
        <v>611</v>
      </c>
      <c r="C10" t="s">
        <v>557</v>
      </c>
      <c r="D10" t="s">
        <v>551</v>
      </c>
    </row>
    <row r="11" spans="1:4" hidden="1" x14ac:dyDescent="0.3">
      <c r="A11" s="140">
        <v>1647</v>
      </c>
      <c r="B11" s="64" t="s">
        <v>612</v>
      </c>
      <c r="C11" t="s">
        <v>554</v>
      </c>
      <c r="D11" t="s">
        <v>551</v>
      </c>
    </row>
    <row r="12" spans="1:4" hidden="1" x14ac:dyDescent="0.3">
      <c r="A12" s="140">
        <v>1682</v>
      </c>
      <c r="B12" s="64" t="s">
        <v>613</v>
      </c>
      <c r="C12" t="s">
        <v>559</v>
      </c>
      <c r="D12" t="s">
        <v>551</v>
      </c>
    </row>
    <row r="13" spans="1:4" hidden="1" x14ac:dyDescent="0.3">
      <c r="A13" s="140">
        <v>2044</v>
      </c>
      <c r="B13" s="64" t="s">
        <v>614</v>
      </c>
      <c r="C13" t="s">
        <v>593</v>
      </c>
      <c r="D13" t="s">
        <v>551</v>
      </c>
    </row>
    <row r="14" spans="1:4" hidden="1" x14ac:dyDescent="0.3">
      <c r="A14" s="140">
        <v>2047</v>
      </c>
      <c r="B14" s="64" t="s">
        <v>615</v>
      </c>
      <c r="C14" t="s">
        <v>563</v>
      </c>
      <c r="D14" t="s">
        <v>551</v>
      </c>
    </row>
    <row r="15" spans="1:4" hidden="1" x14ac:dyDescent="0.3">
      <c r="A15" s="140">
        <v>2064</v>
      </c>
      <c r="B15" s="64" t="s">
        <v>616</v>
      </c>
      <c r="C15" t="s">
        <v>585</v>
      </c>
      <c r="D15" t="s">
        <v>551</v>
      </c>
    </row>
    <row r="16" spans="1:4" hidden="1" x14ac:dyDescent="0.3">
      <c r="A16" s="140">
        <v>2071</v>
      </c>
      <c r="B16" s="64" t="s">
        <v>617</v>
      </c>
      <c r="C16" t="s">
        <v>559</v>
      </c>
      <c r="D16" t="s">
        <v>551</v>
      </c>
    </row>
    <row r="17" spans="1:4" hidden="1" x14ac:dyDescent="0.3">
      <c r="A17" s="140">
        <v>2077</v>
      </c>
      <c r="B17" s="64" t="s">
        <v>618</v>
      </c>
      <c r="C17" t="s">
        <v>563</v>
      </c>
      <c r="D17" t="s">
        <v>551</v>
      </c>
    </row>
    <row r="18" spans="1:4" hidden="1" x14ac:dyDescent="0.3">
      <c r="A18" s="140">
        <v>2079</v>
      </c>
      <c r="B18" s="64" t="s">
        <v>619</v>
      </c>
      <c r="C18" t="s">
        <v>561</v>
      </c>
      <c r="D18" t="s">
        <v>550</v>
      </c>
    </row>
    <row r="19" spans="1:4" hidden="1" x14ac:dyDescent="0.3">
      <c r="A19" s="140">
        <v>2083</v>
      </c>
      <c r="B19" s="64" t="s">
        <v>620</v>
      </c>
      <c r="C19" t="s">
        <v>587</v>
      </c>
      <c r="D19" t="s">
        <v>577</v>
      </c>
    </row>
    <row r="20" spans="1:4" hidden="1" x14ac:dyDescent="0.3">
      <c r="A20" s="140">
        <v>2086</v>
      </c>
      <c r="B20" s="64" t="s">
        <v>621</v>
      </c>
      <c r="C20" t="s">
        <v>549</v>
      </c>
      <c r="D20" t="s">
        <v>551</v>
      </c>
    </row>
    <row r="21" spans="1:4" hidden="1" x14ac:dyDescent="0.3">
      <c r="A21" s="140">
        <v>2087</v>
      </c>
      <c r="B21" s="64" t="s">
        <v>622</v>
      </c>
      <c r="C21" t="s">
        <v>596</v>
      </c>
      <c r="D21" t="s">
        <v>551</v>
      </c>
    </row>
    <row r="22" spans="1:4" hidden="1" x14ac:dyDescent="0.3">
      <c r="A22" s="140">
        <v>2089</v>
      </c>
      <c r="B22" s="64" t="s">
        <v>623</v>
      </c>
      <c r="C22" t="s">
        <v>559</v>
      </c>
      <c r="D22" t="s">
        <v>551</v>
      </c>
    </row>
    <row r="23" spans="1:4" hidden="1" x14ac:dyDescent="0.3">
      <c r="A23" s="140">
        <v>2091</v>
      </c>
      <c r="B23" s="64" t="s">
        <v>624</v>
      </c>
      <c r="C23" t="s">
        <v>561</v>
      </c>
      <c r="D23" t="s">
        <v>550</v>
      </c>
    </row>
    <row r="24" spans="1:4" hidden="1" x14ac:dyDescent="0.3">
      <c r="A24" s="140">
        <v>2092</v>
      </c>
      <c r="B24" s="64" t="s">
        <v>625</v>
      </c>
      <c r="C24" t="s">
        <v>559</v>
      </c>
      <c r="D24" t="s">
        <v>551</v>
      </c>
    </row>
    <row r="25" spans="1:4" hidden="1" x14ac:dyDescent="0.3">
      <c r="A25" s="140">
        <v>2096</v>
      </c>
      <c r="B25" s="64" t="s">
        <v>626</v>
      </c>
      <c r="C25" t="s">
        <v>563</v>
      </c>
      <c r="D25" t="s">
        <v>551</v>
      </c>
    </row>
    <row r="26" spans="1:4" hidden="1" x14ac:dyDescent="0.3">
      <c r="A26" s="140">
        <v>2099</v>
      </c>
      <c r="B26" s="64" t="s">
        <v>627</v>
      </c>
      <c r="C26" t="s">
        <v>563</v>
      </c>
      <c r="D26" t="s">
        <v>551</v>
      </c>
    </row>
    <row r="27" spans="1:4" hidden="1" x14ac:dyDescent="0.3">
      <c r="A27" s="140">
        <v>2100</v>
      </c>
      <c r="B27" s="64" t="s">
        <v>628</v>
      </c>
      <c r="C27" t="s">
        <v>587</v>
      </c>
      <c r="D27" t="s">
        <v>577</v>
      </c>
    </row>
    <row r="28" spans="1:4" hidden="1" x14ac:dyDescent="0.3">
      <c r="A28" s="140">
        <v>2102</v>
      </c>
      <c r="B28" s="64" t="s">
        <v>629</v>
      </c>
      <c r="C28" t="s">
        <v>563</v>
      </c>
      <c r="D28" t="s">
        <v>551</v>
      </c>
    </row>
    <row r="29" spans="1:4" hidden="1" x14ac:dyDescent="0.3">
      <c r="A29" s="140">
        <v>2103</v>
      </c>
      <c r="B29" s="64" t="s">
        <v>630</v>
      </c>
      <c r="C29" t="s">
        <v>563</v>
      </c>
      <c r="D29" t="s">
        <v>551</v>
      </c>
    </row>
    <row r="30" spans="1:4" hidden="1" x14ac:dyDescent="0.3">
      <c r="A30" s="140">
        <v>2105</v>
      </c>
      <c r="B30" s="64" t="s">
        <v>631</v>
      </c>
      <c r="C30" t="s">
        <v>559</v>
      </c>
      <c r="D30" t="s">
        <v>551</v>
      </c>
    </row>
    <row r="31" spans="1:4" hidden="1" x14ac:dyDescent="0.3">
      <c r="A31" s="140">
        <v>2109</v>
      </c>
      <c r="B31" s="64" t="s">
        <v>632</v>
      </c>
      <c r="C31" t="s">
        <v>563</v>
      </c>
      <c r="D31" t="s">
        <v>551</v>
      </c>
    </row>
    <row r="32" spans="1:4" hidden="1" x14ac:dyDescent="0.3">
      <c r="A32" s="140">
        <v>2110</v>
      </c>
      <c r="B32" s="64" t="s">
        <v>633</v>
      </c>
      <c r="C32" t="s">
        <v>558</v>
      </c>
      <c r="D32" t="s">
        <v>551</v>
      </c>
    </row>
    <row r="33" spans="1:4" hidden="1" x14ac:dyDescent="0.3">
      <c r="A33" s="140">
        <v>2113</v>
      </c>
      <c r="B33" s="64" t="s">
        <v>634</v>
      </c>
      <c r="C33" t="s">
        <v>561</v>
      </c>
      <c r="D33" t="s">
        <v>550</v>
      </c>
    </row>
    <row r="34" spans="1:4" hidden="1" x14ac:dyDescent="0.3">
      <c r="A34" s="140">
        <v>2116</v>
      </c>
      <c r="B34" s="64" t="s">
        <v>635</v>
      </c>
      <c r="C34" t="s">
        <v>562</v>
      </c>
      <c r="D34" t="s">
        <v>568</v>
      </c>
    </row>
    <row r="35" spans="1:4" hidden="1" x14ac:dyDescent="0.3">
      <c r="A35" s="140">
        <v>2117</v>
      </c>
      <c r="B35" s="64" t="s">
        <v>636</v>
      </c>
      <c r="C35" t="s">
        <v>562</v>
      </c>
      <c r="D35" t="s">
        <v>569</v>
      </c>
    </row>
    <row r="36" spans="1:4" hidden="1" x14ac:dyDescent="0.3">
      <c r="A36" s="140">
        <v>2118</v>
      </c>
      <c r="B36" s="64" t="s">
        <v>637</v>
      </c>
      <c r="C36" t="s">
        <v>563</v>
      </c>
      <c r="D36" t="s">
        <v>551</v>
      </c>
    </row>
    <row r="37" spans="1:4" hidden="1" x14ac:dyDescent="0.3">
      <c r="A37" s="140">
        <v>2119</v>
      </c>
      <c r="B37" s="64" t="s">
        <v>638</v>
      </c>
      <c r="C37" t="s">
        <v>563</v>
      </c>
      <c r="D37" t="s">
        <v>551</v>
      </c>
    </row>
    <row r="38" spans="1:4" hidden="1" x14ac:dyDescent="0.3">
      <c r="A38" s="140">
        <v>2121</v>
      </c>
      <c r="B38" s="64" t="s">
        <v>639</v>
      </c>
      <c r="C38" t="s">
        <v>562</v>
      </c>
      <c r="D38" t="s">
        <v>566</v>
      </c>
    </row>
    <row r="39" spans="1:4" hidden="1" x14ac:dyDescent="0.3">
      <c r="A39" s="140">
        <v>2124</v>
      </c>
      <c r="B39" s="64" t="s">
        <v>640</v>
      </c>
      <c r="C39" t="s">
        <v>554</v>
      </c>
      <c r="D39" t="s">
        <v>550</v>
      </c>
    </row>
    <row r="40" spans="1:4" hidden="1" x14ac:dyDescent="0.3">
      <c r="A40" s="140">
        <v>2128</v>
      </c>
      <c r="B40" s="64" t="s">
        <v>641</v>
      </c>
      <c r="C40" t="s">
        <v>554</v>
      </c>
      <c r="D40" t="s">
        <v>550</v>
      </c>
    </row>
    <row r="41" spans="1:4" hidden="1" x14ac:dyDescent="0.3">
      <c r="A41" s="140">
        <v>2130</v>
      </c>
      <c r="B41" s="64" t="s">
        <v>642</v>
      </c>
      <c r="C41" t="s">
        <v>553</v>
      </c>
      <c r="D41" t="s">
        <v>551</v>
      </c>
    </row>
    <row r="42" spans="1:4" hidden="1" x14ac:dyDescent="0.3">
      <c r="A42" s="140">
        <v>2134</v>
      </c>
      <c r="B42" s="64" t="s">
        <v>643</v>
      </c>
      <c r="C42" t="s">
        <v>553</v>
      </c>
      <c r="D42" t="s">
        <v>551</v>
      </c>
    </row>
    <row r="43" spans="1:4" hidden="1" x14ac:dyDescent="0.3">
      <c r="A43" s="140">
        <v>2135</v>
      </c>
      <c r="B43" s="64" t="s">
        <v>644</v>
      </c>
      <c r="C43" t="s">
        <v>552</v>
      </c>
      <c r="D43" t="s">
        <v>551</v>
      </c>
    </row>
    <row r="44" spans="1:4" hidden="1" x14ac:dyDescent="0.3">
      <c r="A44" s="140">
        <v>2145</v>
      </c>
      <c r="B44" s="64" t="s">
        <v>645</v>
      </c>
      <c r="C44" t="s">
        <v>563</v>
      </c>
      <c r="D44" t="s">
        <v>551</v>
      </c>
    </row>
    <row r="45" spans="1:4" hidden="1" x14ac:dyDescent="0.3">
      <c r="A45" s="140">
        <v>2147</v>
      </c>
      <c r="B45" s="64" t="s">
        <v>646</v>
      </c>
      <c r="C45" t="s">
        <v>563</v>
      </c>
      <c r="D45" t="s">
        <v>551</v>
      </c>
    </row>
    <row r="46" spans="1:4" hidden="1" x14ac:dyDescent="0.3">
      <c r="A46" s="140">
        <v>2149</v>
      </c>
      <c r="B46" s="64" t="s">
        <v>647</v>
      </c>
      <c r="C46" t="s">
        <v>563</v>
      </c>
      <c r="D46" t="s">
        <v>551</v>
      </c>
    </row>
    <row r="47" spans="1:4" hidden="1" x14ac:dyDescent="0.3">
      <c r="A47" s="140">
        <v>2150</v>
      </c>
      <c r="B47" s="64" t="s">
        <v>648</v>
      </c>
      <c r="C47" t="s">
        <v>563</v>
      </c>
      <c r="D47" t="s">
        <v>551</v>
      </c>
    </row>
    <row r="48" spans="1:4" hidden="1" x14ac:dyDescent="0.3">
      <c r="A48" s="140">
        <v>2151</v>
      </c>
      <c r="B48" s="64" t="s">
        <v>649</v>
      </c>
      <c r="C48" t="s">
        <v>549</v>
      </c>
      <c r="D48" t="s">
        <v>551</v>
      </c>
    </row>
    <row r="49" spans="1:4" hidden="1" x14ac:dyDescent="0.3">
      <c r="A49" s="140">
        <v>2154</v>
      </c>
      <c r="B49" s="64" t="s">
        <v>650</v>
      </c>
      <c r="C49" t="s">
        <v>563</v>
      </c>
      <c r="D49" t="s">
        <v>551</v>
      </c>
    </row>
    <row r="50" spans="1:4" hidden="1" x14ac:dyDescent="0.3">
      <c r="A50" s="140">
        <v>2156</v>
      </c>
      <c r="B50" s="64" t="s">
        <v>651</v>
      </c>
      <c r="C50" t="s">
        <v>554</v>
      </c>
      <c r="D50" t="s">
        <v>551</v>
      </c>
    </row>
    <row r="51" spans="1:4" hidden="1" x14ac:dyDescent="0.3">
      <c r="A51" s="140">
        <v>2159</v>
      </c>
      <c r="B51" s="64" t="s">
        <v>652</v>
      </c>
      <c r="C51" t="s">
        <v>554</v>
      </c>
      <c r="D51" t="s">
        <v>551</v>
      </c>
    </row>
    <row r="52" spans="1:4" x14ac:dyDescent="0.3">
      <c r="A52" s="140">
        <v>2160</v>
      </c>
      <c r="B52" s="64" t="s">
        <v>653</v>
      </c>
      <c r="C52" t="s">
        <v>592</v>
      </c>
      <c r="D52" t="s">
        <v>551</v>
      </c>
    </row>
    <row r="53" spans="1:4" hidden="1" x14ac:dyDescent="0.3">
      <c r="A53" s="140">
        <v>2164</v>
      </c>
      <c r="B53" s="64" t="s">
        <v>654</v>
      </c>
      <c r="C53" t="s">
        <v>563</v>
      </c>
      <c r="D53" t="s">
        <v>551</v>
      </c>
    </row>
    <row r="54" spans="1:4" hidden="1" x14ac:dyDescent="0.3">
      <c r="A54" s="140">
        <v>2168</v>
      </c>
      <c r="B54" s="64" t="s">
        <v>655</v>
      </c>
      <c r="C54" t="s">
        <v>563</v>
      </c>
      <c r="D54" t="s">
        <v>551</v>
      </c>
    </row>
    <row r="55" spans="1:4" hidden="1" x14ac:dyDescent="0.3">
      <c r="A55" s="140">
        <v>2169</v>
      </c>
      <c r="B55" s="64" t="s">
        <v>656</v>
      </c>
      <c r="C55" t="s">
        <v>563</v>
      </c>
      <c r="D55" t="s">
        <v>551</v>
      </c>
    </row>
    <row r="56" spans="1:4" hidden="1" x14ac:dyDescent="0.3">
      <c r="A56" s="140">
        <v>2171</v>
      </c>
      <c r="B56" s="64" t="s">
        <v>657</v>
      </c>
      <c r="C56" t="s">
        <v>587</v>
      </c>
      <c r="D56" t="s">
        <v>577</v>
      </c>
    </row>
    <row r="57" spans="1:4" hidden="1" x14ac:dyDescent="0.3">
      <c r="A57" s="140">
        <v>2173</v>
      </c>
      <c r="B57" s="64" t="s">
        <v>658</v>
      </c>
      <c r="C57" t="s">
        <v>554</v>
      </c>
      <c r="D57" t="s">
        <v>551</v>
      </c>
    </row>
    <row r="58" spans="1:4" hidden="1" x14ac:dyDescent="0.3">
      <c r="A58" s="140">
        <v>2174</v>
      </c>
      <c r="B58" s="64" t="s">
        <v>659</v>
      </c>
      <c r="C58" t="s">
        <v>554</v>
      </c>
      <c r="D58" t="s">
        <v>551</v>
      </c>
    </row>
    <row r="59" spans="1:4" hidden="1" x14ac:dyDescent="0.3">
      <c r="A59" s="140">
        <v>2176</v>
      </c>
      <c r="B59" s="64" t="s">
        <v>660</v>
      </c>
      <c r="C59" t="s">
        <v>587</v>
      </c>
      <c r="D59" t="s">
        <v>577</v>
      </c>
    </row>
    <row r="60" spans="1:4" hidden="1" x14ac:dyDescent="0.3">
      <c r="A60" s="140">
        <v>2177</v>
      </c>
      <c r="B60" s="64" t="s">
        <v>661</v>
      </c>
      <c r="C60" t="s">
        <v>552</v>
      </c>
      <c r="D60" t="s">
        <v>550</v>
      </c>
    </row>
    <row r="61" spans="1:4" hidden="1" x14ac:dyDescent="0.3">
      <c r="A61" s="140">
        <v>2178</v>
      </c>
      <c r="B61" s="64" t="s">
        <v>662</v>
      </c>
      <c r="C61" t="s">
        <v>561</v>
      </c>
      <c r="D61" t="s">
        <v>550</v>
      </c>
    </row>
    <row r="62" spans="1:4" hidden="1" x14ac:dyDescent="0.3">
      <c r="A62" s="140">
        <v>2179</v>
      </c>
      <c r="B62" s="64" t="s">
        <v>663</v>
      </c>
      <c r="C62" t="s">
        <v>563</v>
      </c>
      <c r="D62" t="s">
        <v>551</v>
      </c>
    </row>
    <row r="63" spans="1:4" hidden="1" x14ac:dyDescent="0.3">
      <c r="A63" s="140">
        <v>2180</v>
      </c>
      <c r="B63" s="64" t="s">
        <v>664</v>
      </c>
      <c r="C63" t="s">
        <v>561</v>
      </c>
      <c r="D63" t="s">
        <v>550</v>
      </c>
    </row>
    <row r="64" spans="1:4" hidden="1" x14ac:dyDescent="0.3">
      <c r="A64" s="140">
        <v>2182</v>
      </c>
      <c r="B64" s="64" t="s">
        <v>665</v>
      </c>
      <c r="C64" t="s">
        <v>561</v>
      </c>
      <c r="D64" t="s">
        <v>550</v>
      </c>
    </row>
    <row r="65" spans="1:4" hidden="1" x14ac:dyDescent="0.3">
      <c r="A65" s="140">
        <v>2188</v>
      </c>
      <c r="B65" s="64" t="s">
        <v>666</v>
      </c>
      <c r="C65" t="s">
        <v>557</v>
      </c>
      <c r="D65" t="s">
        <v>551</v>
      </c>
    </row>
    <row r="66" spans="1:4" hidden="1" x14ac:dyDescent="0.3">
      <c r="A66" s="140">
        <v>2191</v>
      </c>
      <c r="B66" s="64" t="s">
        <v>667</v>
      </c>
      <c r="C66" t="s">
        <v>557</v>
      </c>
      <c r="D66" t="s">
        <v>551</v>
      </c>
    </row>
    <row r="67" spans="1:4" hidden="1" x14ac:dyDescent="0.3">
      <c r="A67" s="140">
        <v>2192</v>
      </c>
      <c r="B67" s="64" t="s">
        <v>668</v>
      </c>
      <c r="C67" t="s">
        <v>554</v>
      </c>
      <c r="D67" t="s">
        <v>551</v>
      </c>
    </row>
    <row r="68" spans="1:4" hidden="1" x14ac:dyDescent="0.3">
      <c r="A68" s="140">
        <v>2195</v>
      </c>
      <c r="B68" s="64" t="s">
        <v>669</v>
      </c>
      <c r="C68" t="s">
        <v>563</v>
      </c>
      <c r="D68" t="s">
        <v>551</v>
      </c>
    </row>
    <row r="69" spans="1:4" hidden="1" x14ac:dyDescent="0.3">
      <c r="A69" s="140">
        <v>2196</v>
      </c>
      <c r="B69" s="64" t="s">
        <v>670</v>
      </c>
      <c r="C69" t="s">
        <v>563</v>
      </c>
      <c r="D69" t="s">
        <v>551</v>
      </c>
    </row>
    <row r="70" spans="1:4" hidden="1" x14ac:dyDescent="0.3">
      <c r="A70" s="140">
        <v>2197</v>
      </c>
      <c r="B70" s="64" t="s">
        <v>671</v>
      </c>
      <c r="C70" t="s">
        <v>563</v>
      </c>
      <c r="D70" t="s">
        <v>551</v>
      </c>
    </row>
    <row r="71" spans="1:4" hidden="1" x14ac:dyDescent="0.3">
      <c r="A71" s="140">
        <v>2198</v>
      </c>
      <c r="B71" s="64" t="s">
        <v>672</v>
      </c>
      <c r="C71" t="s">
        <v>562</v>
      </c>
      <c r="D71" t="s">
        <v>579</v>
      </c>
    </row>
    <row r="72" spans="1:4" hidden="1" x14ac:dyDescent="0.3">
      <c r="A72" s="140">
        <v>2199</v>
      </c>
      <c r="B72" s="64" t="s">
        <v>673</v>
      </c>
      <c r="C72" t="s">
        <v>563</v>
      </c>
      <c r="D72" t="s">
        <v>551</v>
      </c>
    </row>
    <row r="73" spans="1:4" hidden="1" x14ac:dyDescent="0.3">
      <c r="A73" s="140">
        <v>2201</v>
      </c>
      <c r="B73" s="64" t="s">
        <v>674</v>
      </c>
      <c r="C73" t="s">
        <v>594</v>
      </c>
      <c r="D73" t="s">
        <v>551</v>
      </c>
    </row>
    <row r="74" spans="1:4" hidden="1" x14ac:dyDescent="0.3">
      <c r="A74" s="140">
        <v>2203</v>
      </c>
      <c r="B74" s="64" t="s">
        <v>675</v>
      </c>
      <c r="C74" t="s">
        <v>553</v>
      </c>
      <c r="D74" t="s">
        <v>551</v>
      </c>
    </row>
    <row r="75" spans="1:4" x14ac:dyDescent="0.3">
      <c r="A75" s="140">
        <v>2204</v>
      </c>
      <c r="B75" s="64" t="s">
        <v>676</v>
      </c>
      <c r="C75" t="s">
        <v>592</v>
      </c>
      <c r="D75" t="s">
        <v>550</v>
      </c>
    </row>
    <row r="76" spans="1:4" hidden="1" x14ac:dyDescent="0.3">
      <c r="A76" s="140">
        <v>2205</v>
      </c>
      <c r="B76" s="64" t="s">
        <v>677</v>
      </c>
      <c r="C76" t="s">
        <v>561</v>
      </c>
      <c r="D76" t="s">
        <v>550</v>
      </c>
    </row>
    <row r="77" spans="1:4" hidden="1" x14ac:dyDescent="0.3">
      <c r="A77" s="140">
        <v>2208</v>
      </c>
      <c r="B77" s="64" t="s">
        <v>678</v>
      </c>
      <c r="C77" t="s">
        <v>561</v>
      </c>
      <c r="D77" t="s">
        <v>550</v>
      </c>
    </row>
    <row r="78" spans="1:4" hidden="1" x14ac:dyDescent="0.3">
      <c r="A78" s="140">
        <v>2209</v>
      </c>
      <c r="B78" s="64" t="s">
        <v>679</v>
      </c>
      <c r="C78" t="s">
        <v>587</v>
      </c>
      <c r="D78" t="s">
        <v>577</v>
      </c>
    </row>
    <row r="79" spans="1:4" hidden="1" x14ac:dyDescent="0.3">
      <c r="A79" s="140">
        <v>2211</v>
      </c>
      <c r="B79" s="64" t="s">
        <v>680</v>
      </c>
      <c r="C79" t="s">
        <v>558</v>
      </c>
      <c r="D79" t="s">
        <v>551</v>
      </c>
    </row>
    <row r="80" spans="1:4" hidden="1" x14ac:dyDescent="0.3">
      <c r="A80" s="140">
        <v>2217</v>
      </c>
      <c r="B80" s="64" t="s">
        <v>681</v>
      </c>
      <c r="C80" t="s">
        <v>562</v>
      </c>
      <c r="D80" t="s">
        <v>570</v>
      </c>
    </row>
    <row r="81" spans="1:4" hidden="1" x14ac:dyDescent="0.3">
      <c r="A81" s="140">
        <v>2220</v>
      </c>
      <c r="B81" s="64" t="s">
        <v>682</v>
      </c>
      <c r="C81" t="s">
        <v>559</v>
      </c>
      <c r="D81" t="s">
        <v>551</v>
      </c>
    </row>
    <row r="82" spans="1:4" hidden="1" x14ac:dyDescent="0.3">
      <c r="A82" s="140">
        <v>2224</v>
      </c>
      <c r="B82" s="64" t="s">
        <v>683</v>
      </c>
      <c r="C82" t="s">
        <v>554</v>
      </c>
      <c r="D82" t="s">
        <v>551</v>
      </c>
    </row>
    <row r="83" spans="1:4" hidden="1" x14ac:dyDescent="0.3">
      <c r="A83" s="140">
        <v>2225</v>
      </c>
      <c r="B83" s="64" t="s">
        <v>684</v>
      </c>
      <c r="C83" t="s">
        <v>554</v>
      </c>
      <c r="D83" t="s">
        <v>550</v>
      </c>
    </row>
    <row r="84" spans="1:4" hidden="1" x14ac:dyDescent="0.3">
      <c r="A84" s="140">
        <v>2226</v>
      </c>
      <c r="B84" s="64" t="s">
        <v>685</v>
      </c>
      <c r="C84" t="s">
        <v>554</v>
      </c>
      <c r="D84" t="s">
        <v>551</v>
      </c>
    </row>
    <row r="85" spans="1:4" hidden="1" x14ac:dyDescent="0.3">
      <c r="A85" s="140">
        <v>2227</v>
      </c>
      <c r="B85" s="64" t="s">
        <v>686</v>
      </c>
      <c r="C85" t="s">
        <v>552</v>
      </c>
      <c r="D85" t="s">
        <v>551</v>
      </c>
    </row>
    <row r="86" spans="1:4" hidden="1" x14ac:dyDescent="0.3">
      <c r="A86" s="140">
        <v>2231</v>
      </c>
      <c r="B86" s="64" t="s">
        <v>687</v>
      </c>
      <c r="C86" t="s">
        <v>557</v>
      </c>
      <c r="D86" t="s">
        <v>551</v>
      </c>
    </row>
    <row r="87" spans="1:4" hidden="1" x14ac:dyDescent="0.3">
      <c r="A87" s="140">
        <v>2233</v>
      </c>
      <c r="B87" s="64" t="s">
        <v>688</v>
      </c>
      <c r="C87" t="s">
        <v>553</v>
      </c>
      <c r="D87" t="s">
        <v>551</v>
      </c>
    </row>
    <row r="88" spans="1:4" hidden="1" x14ac:dyDescent="0.3">
      <c r="A88" s="140">
        <v>2235</v>
      </c>
      <c r="B88" s="64" t="s">
        <v>689</v>
      </c>
      <c r="C88" t="s">
        <v>563</v>
      </c>
      <c r="D88" t="s">
        <v>551</v>
      </c>
    </row>
    <row r="89" spans="1:4" hidden="1" x14ac:dyDescent="0.3">
      <c r="A89" s="140">
        <v>2237</v>
      </c>
      <c r="B89" s="64" t="s">
        <v>690</v>
      </c>
      <c r="C89" t="s">
        <v>553</v>
      </c>
      <c r="D89" t="s">
        <v>550</v>
      </c>
    </row>
    <row r="90" spans="1:4" hidden="1" x14ac:dyDescent="0.3">
      <c r="A90" s="140">
        <v>2238</v>
      </c>
      <c r="B90" s="64" t="s">
        <v>691</v>
      </c>
      <c r="C90" t="s">
        <v>554</v>
      </c>
      <c r="D90" t="s">
        <v>550</v>
      </c>
    </row>
    <row r="91" spans="1:4" hidden="1" x14ac:dyDescent="0.3">
      <c r="A91" s="140">
        <v>2240</v>
      </c>
      <c r="B91" s="64" t="s">
        <v>692</v>
      </c>
      <c r="C91" t="s">
        <v>589</v>
      </c>
      <c r="D91" t="s">
        <v>551</v>
      </c>
    </row>
    <row r="92" spans="1:4" hidden="1" x14ac:dyDescent="0.3">
      <c r="A92" s="140">
        <v>2242</v>
      </c>
      <c r="B92" s="64" t="s">
        <v>693</v>
      </c>
      <c r="C92" t="s">
        <v>561</v>
      </c>
      <c r="D92" t="s">
        <v>550</v>
      </c>
    </row>
    <row r="93" spans="1:4" hidden="1" x14ac:dyDescent="0.3">
      <c r="A93" s="140">
        <v>2243</v>
      </c>
      <c r="B93" s="64" t="s">
        <v>694</v>
      </c>
      <c r="C93" t="s">
        <v>552</v>
      </c>
      <c r="D93" t="s">
        <v>550</v>
      </c>
    </row>
    <row r="94" spans="1:4" hidden="1" x14ac:dyDescent="0.3">
      <c r="A94" s="140">
        <v>2244</v>
      </c>
      <c r="B94" s="64" t="s">
        <v>695</v>
      </c>
      <c r="C94" t="s">
        <v>563</v>
      </c>
      <c r="D94" t="s">
        <v>551</v>
      </c>
    </row>
    <row r="95" spans="1:4" hidden="1" x14ac:dyDescent="0.3">
      <c r="A95" s="140">
        <v>2245</v>
      </c>
      <c r="B95" s="64" t="s">
        <v>696</v>
      </c>
      <c r="C95" t="s">
        <v>563</v>
      </c>
      <c r="D95" t="s">
        <v>551</v>
      </c>
    </row>
    <row r="96" spans="1:4" hidden="1" x14ac:dyDescent="0.3">
      <c r="A96" s="140">
        <v>2248</v>
      </c>
      <c r="B96" s="64" t="s">
        <v>697</v>
      </c>
      <c r="C96" t="s">
        <v>587</v>
      </c>
      <c r="D96" t="s">
        <v>577</v>
      </c>
    </row>
    <row r="97" spans="1:4" hidden="1" x14ac:dyDescent="0.3">
      <c r="A97" s="140">
        <v>2249</v>
      </c>
      <c r="B97" s="64" t="s">
        <v>698</v>
      </c>
      <c r="C97" t="s">
        <v>563</v>
      </c>
      <c r="D97" t="s">
        <v>551</v>
      </c>
    </row>
    <row r="98" spans="1:4" hidden="1" x14ac:dyDescent="0.3">
      <c r="A98" s="140">
        <v>2250</v>
      </c>
      <c r="B98" s="64" t="s">
        <v>699</v>
      </c>
      <c r="C98" t="s">
        <v>563</v>
      </c>
      <c r="D98" t="s">
        <v>551</v>
      </c>
    </row>
    <row r="99" spans="1:4" hidden="1" x14ac:dyDescent="0.3">
      <c r="A99" s="140">
        <v>2251</v>
      </c>
      <c r="B99" s="64" t="s">
        <v>700</v>
      </c>
      <c r="C99" t="s">
        <v>563</v>
      </c>
      <c r="D99" t="s">
        <v>551</v>
      </c>
    </row>
    <row r="100" spans="1:4" hidden="1" x14ac:dyDescent="0.3">
      <c r="A100" s="140">
        <v>2252</v>
      </c>
      <c r="B100" s="64" t="s">
        <v>701</v>
      </c>
      <c r="C100" t="s">
        <v>561</v>
      </c>
      <c r="D100" t="s">
        <v>550</v>
      </c>
    </row>
    <row r="101" spans="1:4" hidden="1" x14ac:dyDescent="0.3">
      <c r="A101" s="140">
        <v>2253</v>
      </c>
      <c r="B101" s="64" t="s">
        <v>702</v>
      </c>
      <c r="C101" t="s">
        <v>563</v>
      </c>
      <c r="D101" t="s">
        <v>551</v>
      </c>
    </row>
    <row r="102" spans="1:4" hidden="1" x14ac:dyDescent="0.3">
      <c r="A102" s="140">
        <v>2254</v>
      </c>
      <c r="B102" s="64" t="s">
        <v>703</v>
      </c>
      <c r="C102" t="s">
        <v>561</v>
      </c>
      <c r="D102" t="s">
        <v>550</v>
      </c>
    </row>
    <row r="103" spans="1:4" hidden="1" x14ac:dyDescent="0.3">
      <c r="A103" s="140">
        <v>2255</v>
      </c>
      <c r="B103" s="64" t="s">
        <v>704</v>
      </c>
      <c r="C103" t="s">
        <v>561</v>
      </c>
      <c r="D103" t="s">
        <v>550</v>
      </c>
    </row>
    <row r="104" spans="1:4" hidden="1" x14ac:dyDescent="0.3">
      <c r="A104" s="140">
        <v>2256</v>
      </c>
      <c r="B104" s="64" t="s">
        <v>705</v>
      </c>
      <c r="C104" t="s">
        <v>563</v>
      </c>
      <c r="D104" t="s">
        <v>551</v>
      </c>
    </row>
    <row r="105" spans="1:4" hidden="1" x14ac:dyDescent="0.3">
      <c r="A105" s="140">
        <v>2259</v>
      </c>
      <c r="B105" s="64" t="s">
        <v>706</v>
      </c>
      <c r="C105" t="s">
        <v>562</v>
      </c>
      <c r="D105" t="s">
        <v>551</v>
      </c>
    </row>
    <row r="106" spans="1:4" hidden="1" x14ac:dyDescent="0.3">
      <c r="A106" s="140">
        <v>2260</v>
      </c>
      <c r="B106" s="64" t="s">
        <v>707</v>
      </c>
      <c r="C106" t="s">
        <v>556</v>
      </c>
      <c r="D106" t="s">
        <v>551</v>
      </c>
    </row>
    <row r="107" spans="1:4" hidden="1" x14ac:dyDescent="0.3">
      <c r="A107" s="140">
        <v>2261</v>
      </c>
      <c r="B107" s="64" t="s">
        <v>708</v>
      </c>
      <c r="C107" t="s">
        <v>589</v>
      </c>
      <c r="D107" t="s">
        <v>577</v>
      </c>
    </row>
    <row r="108" spans="1:4" hidden="1" x14ac:dyDescent="0.3">
      <c r="A108" s="140">
        <v>2262</v>
      </c>
      <c r="B108" s="64" t="s">
        <v>709</v>
      </c>
      <c r="C108" t="s">
        <v>553</v>
      </c>
      <c r="D108" t="s">
        <v>551</v>
      </c>
    </row>
    <row r="109" spans="1:4" hidden="1" x14ac:dyDescent="0.3">
      <c r="A109" s="140">
        <v>2263</v>
      </c>
      <c r="B109" s="64" t="s">
        <v>710</v>
      </c>
      <c r="C109" t="s">
        <v>554</v>
      </c>
      <c r="D109" t="s">
        <v>577</v>
      </c>
    </row>
    <row r="110" spans="1:4" hidden="1" x14ac:dyDescent="0.3">
      <c r="A110" s="140">
        <v>2265</v>
      </c>
      <c r="B110" s="64" t="s">
        <v>711</v>
      </c>
      <c r="C110" t="s">
        <v>587</v>
      </c>
      <c r="D110" t="s">
        <v>577</v>
      </c>
    </row>
    <row r="111" spans="1:4" hidden="1" x14ac:dyDescent="0.3">
      <c r="A111" s="140">
        <v>2266</v>
      </c>
      <c r="B111" s="64" t="s">
        <v>712</v>
      </c>
      <c r="C111" t="s">
        <v>562</v>
      </c>
      <c r="D111" t="s">
        <v>565</v>
      </c>
    </row>
    <row r="112" spans="1:4" hidden="1" x14ac:dyDescent="0.3">
      <c r="A112" s="140">
        <v>2268</v>
      </c>
      <c r="B112" s="64" t="s">
        <v>713</v>
      </c>
      <c r="C112" t="s">
        <v>562</v>
      </c>
      <c r="D112" t="s">
        <v>573</v>
      </c>
    </row>
    <row r="113" spans="1:4" hidden="1" x14ac:dyDescent="0.3">
      <c r="A113" s="140">
        <v>2269</v>
      </c>
      <c r="B113" s="64" t="s">
        <v>714</v>
      </c>
      <c r="C113" t="s">
        <v>562</v>
      </c>
      <c r="D113" t="s">
        <v>583</v>
      </c>
    </row>
    <row r="114" spans="1:4" hidden="1" x14ac:dyDescent="0.3">
      <c r="A114" s="140">
        <v>2277</v>
      </c>
      <c r="B114" s="64" t="s">
        <v>715</v>
      </c>
      <c r="C114" t="s">
        <v>555</v>
      </c>
      <c r="D114" t="s">
        <v>551</v>
      </c>
    </row>
    <row r="115" spans="1:4" hidden="1" x14ac:dyDescent="0.3">
      <c r="A115" s="140">
        <v>2278</v>
      </c>
      <c r="B115" s="64" t="s">
        <v>716</v>
      </c>
      <c r="C115" t="s">
        <v>585</v>
      </c>
      <c r="D115" t="s">
        <v>551</v>
      </c>
    </row>
    <row r="116" spans="1:4" hidden="1" x14ac:dyDescent="0.3">
      <c r="A116" s="140">
        <v>2279</v>
      </c>
      <c r="B116" s="64" t="s">
        <v>717</v>
      </c>
      <c r="C116" t="s">
        <v>554</v>
      </c>
      <c r="D116" t="s">
        <v>551</v>
      </c>
    </row>
    <row r="117" spans="1:4" hidden="1" x14ac:dyDescent="0.3">
      <c r="A117" s="140">
        <v>2281</v>
      </c>
      <c r="B117" s="64" t="s">
        <v>718</v>
      </c>
      <c r="C117" t="s">
        <v>553</v>
      </c>
      <c r="D117" t="s">
        <v>551</v>
      </c>
    </row>
    <row r="118" spans="1:4" hidden="1" x14ac:dyDescent="0.3">
      <c r="A118" s="140">
        <v>2282</v>
      </c>
      <c r="B118" s="64" t="s">
        <v>719</v>
      </c>
      <c r="C118" t="s">
        <v>560</v>
      </c>
      <c r="D118" t="s">
        <v>551</v>
      </c>
    </row>
    <row r="119" spans="1:4" hidden="1" x14ac:dyDescent="0.3">
      <c r="A119" s="140">
        <v>2284</v>
      </c>
      <c r="B119" s="64" t="s">
        <v>720</v>
      </c>
      <c r="C119" t="s">
        <v>554</v>
      </c>
      <c r="D119" t="s">
        <v>550</v>
      </c>
    </row>
    <row r="120" spans="1:4" hidden="1" x14ac:dyDescent="0.3">
      <c r="A120" s="140">
        <v>2285</v>
      </c>
      <c r="B120" s="64" t="s">
        <v>721</v>
      </c>
      <c r="C120" t="s">
        <v>558</v>
      </c>
      <c r="D120" t="s">
        <v>551</v>
      </c>
    </row>
    <row r="121" spans="1:4" hidden="1" x14ac:dyDescent="0.3">
      <c r="A121" s="140">
        <v>2286</v>
      </c>
      <c r="B121" s="64" t="s">
        <v>722</v>
      </c>
      <c r="C121" t="s">
        <v>553</v>
      </c>
      <c r="D121" t="s">
        <v>551</v>
      </c>
    </row>
    <row r="122" spans="1:4" hidden="1" x14ac:dyDescent="0.3">
      <c r="A122" s="140">
        <v>2287</v>
      </c>
      <c r="B122" s="64" t="s">
        <v>723</v>
      </c>
      <c r="C122" t="s">
        <v>589</v>
      </c>
      <c r="D122" t="s">
        <v>551</v>
      </c>
    </row>
    <row r="123" spans="1:4" hidden="1" x14ac:dyDescent="0.3">
      <c r="A123" s="140">
        <v>2290</v>
      </c>
      <c r="B123" s="64" t="s">
        <v>724</v>
      </c>
      <c r="C123" t="s">
        <v>549</v>
      </c>
      <c r="D123" t="s">
        <v>551</v>
      </c>
    </row>
    <row r="124" spans="1:4" hidden="1" x14ac:dyDescent="0.3">
      <c r="A124" s="140">
        <v>2291</v>
      </c>
      <c r="B124" s="64" t="s">
        <v>725</v>
      </c>
      <c r="C124" t="s">
        <v>554</v>
      </c>
      <c r="D124" t="s">
        <v>550</v>
      </c>
    </row>
    <row r="125" spans="1:4" hidden="1" x14ac:dyDescent="0.3">
      <c r="A125" s="140">
        <v>2302</v>
      </c>
      <c r="B125" s="64" t="s">
        <v>726</v>
      </c>
      <c r="C125" t="s">
        <v>554</v>
      </c>
      <c r="D125" t="s">
        <v>550</v>
      </c>
    </row>
    <row r="126" spans="1:4" hidden="1" x14ac:dyDescent="0.3">
      <c r="A126" s="140">
        <v>2304</v>
      </c>
      <c r="B126" s="64" t="s">
        <v>727</v>
      </c>
      <c r="C126" t="s">
        <v>558</v>
      </c>
      <c r="D126" t="s">
        <v>551</v>
      </c>
    </row>
    <row r="127" spans="1:4" hidden="1" x14ac:dyDescent="0.3">
      <c r="A127" s="140">
        <v>2305</v>
      </c>
      <c r="B127" s="64" t="s">
        <v>728</v>
      </c>
      <c r="C127" t="s">
        <v>558</v>
      </c>
      <c r="D127" t="s">
        <v>551</v>
      </c>
    </row>
    <row r="128" spans="1:4" hidden="1" x14ac:dyDescent="0.3">
      <c r="A128" s="140">
        <v>2318</v>
      </c>
      <c r="B128" s="64" t="s">
        <v>729</v>
      </c>
      <c r="C128" t="s">
        <v>554</v>
      </c>
      <c r="D128" t="s">
        <v>551</v>
      </c>
    </row>
    <row r="129" spans="1:4" hidden="1" x14ac:dyDescent="0.3">
      <c r="A129" s="140">
        <v>2319</v>
      </c>
      <c r="B129" s="64" t="s">
        <v>730</v>
      </c>
      <c r="C129" t="s">
        <v>554</v>
      </c>
      <c r="D129" t="s">
        <v>551</v>
      </c>
    </row>
    <row r="130" spans="1:4" x14ac:dyDescent="0.3">
      <c r="A130" s="140">
        <v>2322</v>
      </c>
      <c r="B130" s="64" t="s">
        <v>731</v>
      </c>
      <c r="C130" t="s">
        <v>592</v>
      </c>
      <c r="D130" t="s">
        <v>551</v>
      </c>
    </row>
    <row r="131" spans="1:4" hidden="1" x14ac:dyDescent="0.3">
      <c r="A131" s="140">
        <v>2323</v>
      </c>
      <c r="B131" s="64" t="s">
        <v>732</v>
      </c>
      <c r="C131" t="s">
        <v>587</v>
      </c>
      <c r="D131" t="s">
        <v>577</v>
      </c>
    </row>
    <row r="132" spans="1:4" hidden="1" x14ac:dyDescent="0.3">
      <c r="A132" s="140">
        <v>2325</v>
      </c>
      <c r="B132" s="64" t="s">
        <v>733</v>
      </c>
      <c r="C132" t="s">
        <v>554</v>
      </c>
      <c r="D132" t="s">
        <v>551</v>
      </c>
    </row>
    <row r="133" spans="1:4" hidden="1" x14ac:dyDescent="0.3">
      <c r="A133" s="140">
        <v>2330</v>
      </c>
      <c r="B133" s="64" t="s">
        <v>734</v>
      </c>
      <c r="C133" t="s">
        <v>561</v>
      </c>
      <c r="D133" t="s">
        <v>550</v>
      </c>
    </row>
    <row r="134" spans="1:4" hidden="1" x14ac:dyDescent="0.3">
      <c r="A134" s="140">
        <v>2331</v>
      </c>
      <c r="B134" s="64" t="s">
        <v>735</v>
      </c>
      <c r="C134" t="s">
        <v>558</v>
      </c>
      <c r="D134" t="s">
        <v>551</v>
      </c>
    </row>
    <row r="135" spans="1:4" hidden="1" x14ac:dyDescent="0.3">
      <c r="A135" s="140">
        <v>2332</v>
      </c>
      <c r="B135" s="64" t="s">
        <v>736</v>
      </c>
      <c r="C135" t="s">
        <v>562</v>
      </c>
      <c r="D135" t="s">
        <v>551</v>
      </c>
    </row>
    <row r="136" spans="1:4" hidden="1" x14ac:dyDescent="0.3">
      <c r="A136" s="140">
        <v>2335</v>
      </c>
      <c r="B136" s="64" t="s">
        <v>737</v>
      </c>
      <c r="C136" t="s">
        <v>561</v>
      </c>
      <c r="D136" t="s">
        <v>550</v>
      </c>
    </row>
    <row r="137" spans="1:4" hidden="1" x14ac:dyDescent="0.3">
      <c r="A137" s="140">
        <v>2336</v>
      </c>
      <c r="B137" s="64" t="s">
        <v>738</v>
      </c>
      <c r="C137" t="s">
        <v>553</v>
      </c>
      <c r="D137" t="s">
        <v>550</v>
      </c>
    </row>
    <row r="138" spans="1:4" hidden="1" x14ac:dyDescent="0.3">
      <c r="A138" s="140">
        <v>2339</v>
      </c>
      <c r="B138" s="64" t="s">
        <v>739</v>
      </c>
      <c r="C138" t="s">
        <v>561</v>
      </c>
      <c r="D138" t="s">
        <v>550</v>
      </c>
    </row>
    <row r="139" spans="1:4" hidden="1" x14ac:dyDescent="0.3">
      <c r="A139" s="140">
        <v>2341</v>
      </c>
      <c r="B139" s="64" t="s">
        <v>740</v>
      </c>
      <c r="C139" t="s">
        <v>562</v>
      </c>
      <c r="D139" t="s">
        <v>551</v>
      </c>
    </row>
    <row r="140" spans="1:4" hidden="1" x14ac:dyDescent="0.3">
      <c r="A140" s="140">
        <v>2345</v>
      </c>
      <c r="B140" s="64" t="s">
        <v>741</v>
      </c>
      <c r="C140" t="s">
        <v>554</v>
      </c>
      <c r="D140" t="s">
        <v>577</v>
      </c>
    </row>
    <row r="141" spans="1:4" hidden="1" x14ac:dyDescent="0.3">
      <c r="A141" s="140">
        <v>2350</v>
      </c>
      <c r="B141" s="64" t="s">
        <v>742</v>
      </c>
      <c r="C141" t="s">
        <v>561</v>
      </c>
      <c r="D141" t="s">
        <v>550</v>
      </c>
    </row>
    <row r="142" spans="1:4" hidden="1" x14ac:dyDescent="0.3">
      <c r="A142" s="140">
        <v>2353</v>
      </c>
      <c r="B142" s="64" t="s">
        <v>743</v>
      </c>
      <c r="C142" t="s">
        <v>556</v>
      </c>
      <c r="D142" t="s">
        <v>551</v>
      </c>
    </row>
    <row r="143" spans="1:4" hidden="1" x14ac:dyDescent="0.3">
      <c r="A143" s="140">
        <v>2359</v>
      </c>
      <c r="B143" s="64" t="s">
        <v>744</v>
      </c>
      <c r="C143" t="s">
        <v>555</v>
      </c>
      <c r="D143" t="s">
        <v>551</v>
      </c>
    </row>
    <row r="144" spans="1:4" hidden="1" x14ac:dyDescent="0.3">
      <c r="A144" s="140">
        <v>2361</v>
      </c>
      <c r="B144" s="64" t="s">
        <v>745</v>
      </c>
      <c r="C144" t="s">
        <v>556</v>
      </c>
      <c r="D144" t="s">
        <v>550</v>
      </c>
    </row>
    <row r="145" spans="1:4" hidden="1" x14ac:dyDescent="0.3">
      <c r="A145" s="140">
        <v>2365</v>
      </c>
      <c r="B145" s="64" t="s">
        <v>746</v>
      </c>
      <c r="C145" t="s">
        <v>556</v>
      </c>
      <c r="D145" t="s">
        <v>550</v>
      </c>
    </row>
    <row r="146" spans="1:4" hidden="1" x14ac:dyDescent="0.3">
      <c r="A146" s="140">
        <v>2367</v>
      </c>
      <c r="B146" s="64" t="s">
        <v>747</v>
      </c>
      <c r="C146" t="s">
        <v>554</v>
      </c>
      <c r="D146" t="s">
        <v>551</v>
      </c>
    </row>
    <row r="147" spans="1:4" hidden="1" x14ac:dyDescent="0.3">
      <c r="A147" s="140">
        <v>2368</v>
      </c>
      <c r="B147" s="64" t="s">
        <v>748</v>
      </c>
      <c r="C147" t="s">
        <v>562</v>
      </c>
      <c r="D147" t="s">
        <v>581</v>
      </c>
    </row>
    <row r="148" spans="1:4" hidden="1" x14ac:dyDescent="0.3">
      <c r="A148" s="140">
        <v>2370</v>
      </c>
      <c r="B148" s="64" t="s">
        <v>749</v>
      </c>
      <c r="C148" t="s">
        <v>589</v>
      </c>
      <c r="D148" t="s">
        <v>551</v>
      </c>
    </row>
    <row r="149" spans="1:4" x14ac:dyDescent="0.3">
      <c r="A149" s="140">
        <v>2375</v>
      </c>
      <c r="B149" s="64" t="s">
        <v>750</v>
      </c>
      <c r="C149" t="s">
        <v>591</v>
      </c>
      <c r="D149" t="s">
        <v>551</v>
      </c>
    </row>
    <row r="150" spans="1:4" hidden="1" x14ac:dyDescent="0.3">
      <c r="A150" s="140">
        <v>2376</v>
      </c>
      <c r="B150" s="64" t="s">
        <v>751</v>
      </c>
      <c r="C150" t="s">
        <v>585</v>
      </c>
      <c r="D150" t="s">
        <v>551</v>
      </c>
    </row>
    <row r="151" spans="1:4" hidden="1" x14ac:dyDescent="0.3">
      <c r="A151" s="140">
        <v>2378</v>
      </c>
      <c r="B151" s="64" t="s">
        <v>752</v>
      </c>
      <c r="C151" t="s">
        <v>556</v>
      </c>
      <c r="D151" t="s">
        <v>551</v>
      </c>
    </row>
    <row r="152" spans="1:4" x14ac:dyDescent="0.3">
      <c r="A152" s="140">
        <v>2380</v>
      </c>
      <c r="B152" s="64" t="s">
        <v>753</v>
      </c>
      <c r="C152" t="s">
        <v>591</v>
      </c>
      <c r="D152" t="s">
        <v>551</v>
      </c>
    </row>
    <row r="153" spans="1:4" hidden="1" x14ac:dyDescent="0.3">
      <c r="A153" s="140">
        <v>2382</v>
      </c>
      <c r="B153" s="64" t="s">
        <v>754</v>
      </c>
      <c r="C153" t="s">
        <v>589</v>
      </c>
      <c r="D153" t="s">
        <v>550</v>
      </c>
    </row>
    <row r="154" spans="1:4" x14ac:dyDescent="0.3">
      <c r="A154" s="140">
        <v>2383</v>
      </c>
      <c r="B154" s="64" t="s">
        <v>755</v>
      </c>
      <c r="C154" t="s">
        <v>591</v>
      </c>
      <c r="D154" t="s">
        <v>551</v>
      </c>
    </row>
    <row r="155" spans="1:4" hidden="1" x14ac:dyDescent="0.3">
      <c r="A155" s="140">
        <v>2384</v>
      </c>
      <c r="B155" s="64" t="s">
        <v>756</v>
      </c>
      <c r="C155" t="s">
        <v>559</v>
      </c>
      <c r="D155" t="s">
        <v>551</v>
      </c>
    </row>
    <row r="156" spans="1:4" hidden="1" x14ac:dyDescent="0.3">
      <c r="A156" s="140">
        <v>2385</v>
      </c>
      <c r="B156" s="64" t="s">
        <v>757</v>
      </c>
      <c r="C156" t="s">
        <v>556</v>
      </c>
      <c r="D156" t="s">
        <v>550</v>
      </c>
    </row>
    <row r="157" spans="1:4" hidden="1" x14ac:dyDescent="0.3">
      <c r="A157" s="140">
        <v>2387</v>
      </c>
      <c r="B157" s="64" t="s">
        <v>758</v>
      </c>
      <c r="C157" t="s">
        <v>556</v>
      </c>
      <c r="D157" t="s">
        <v>550</v>
      </c>
    </row>
    <row r="158" spans="1:4" hidden="1" x14ac:dyDescent="0.3">
      <c r="A158" s="140">
        <v>2395</v>
      </c>
      <c r="B158" s="64" t="s">
        <v>759</v>
      </c>
      <c r="C158" t="s">
        <v>296</v>
      </c>
      <c r="D158" t="s">
        <v>551</v>
      </c>
    </row>
    <row r="159" spans="1:4" hidden="1" x14ac:dyDescent="0.3">
      <c r="A159" s="140">
        <v>2400</v>
      </c>
      <c r="B159" s="64" t="s">
        <v>760</v>
      </c>
      <c r="C159" t="s">
        <v>563</v>
      </c>
      <c r="D159" t="s">
        <v>551</v>
      </c>
    </row>
    <row r="160" spans="1:4" hidden="1" x14ac:dyDescent="0.3">
      <c r="A160" s="140">
        <v>2401</v>
      </c>
      <c r="B160" s="64" t="s">
        <v>761</v>
      </c>
      <c r="C160" t="s">
        <v>558</v>
      </c>
      <c r="D160" t="s">
        <v>551</v>
      </c>
    </row>
    <row r="161" spans="1:4" hidden="1" x14ac:dyDescent="0.3">
      <c r="A161" s="140">
        <v>2404</v>
      </c>
      <c r="B161" s="64" t="s">
        <v>762</v>
      </c>
      <c r="C161" t="s">
        <v>558</v>
      </c>
      <c r="D161" t="s">
        <v>551</v>
      </c>
    </row>
    <row r="162" spans="1:4" hidden="1" x14ac:dyDescent="0.3">
      <c r="A162" s="140">
        <v>2406</v>
      </c>
      <c r="B162" s="64" t="s">
        <v>763</v>
      </c>
      <c r="C162" t="s">
        <v>556</v>
      </c>
      <c r="D162" t="s">
        <v>550</v>
      </c>
    </row>
    <row r="163" spans="1:4" hidden="1" x14ac:dyDescent="0.3">
      <c r="A163" s="140">
        <v>2408</v>
      </c>
      <c r="B163" s="64" t="s">
        <v>764</v>
      </c>
      <c r="C163" t="s">
        <v>589</v>
      </c>
      <c r="D163" t="s">
        <v>550</v>
      </c>
    </row>
    <row r="164" spans="1:4" hidden="1" x14ac:dyDescent="0.3">
      <c r="A164" s="140">
        <v>2410</v>
      </c>
      <c r="B164" s="64" t="s">
        <v>765</v>
      </c>
      <c r="C164" t="s">
        <v>554</v>
      </c>
      <c r="D164" t="s">
        <v>550</v>
      </c>
    </row>
    <row r="165" spans="1:4" hidden="1" x14ac:dyDescent="0.3">
      <c r="A165" s="140">
        <v>2412</v>
      </c>
      <c r="B165" s="64" t="s">
        <v>766</v>
      </c>
      <c r="C165" t="s">
        <v>553</v>
      </c>
      <c r="D165" t="s">
        <v>551</v>
      </c>
    </row>
    <row r="166" spans="1:4" hidden="1" x14ac:dyDescent="0.3">
      <c r="A166" s="140">
        <v>2414</v>
      </c>
      <c r="B166" s="64" t="s">
        <v>767</v>
      </c>
      <c r="C166" t="s">
        <v>561</v>
      </c>
      <c r="D166" t="s">
        <v>550</v>
      </c>
    </row>
    <row r="167" spans="1:4" hidden="1" x14ac:dyDescent="0.3">
      <c r="A167" s="140">
        <v>2416</v>
      </c>
      <c r="B167" s="64" t="s">
        <v>768</v>
      </c>
      <c r="C167" t="s">
        <v>561</v>
      </c>
      <c r="D167" t="s">
        <v>550</v>
      </c>
    </row>
    <row r="168" spans="1:4" hidden="1" x14ac:dyDescent="0.3">
      <c r="A168" s="140">
        <v>2417</v>
      </c>
      <c r="B168" s="64" t="s">
        <v>769</v>
      </c>
      <c r="C168" t="s">
        <v>563</v>
      </c>
      <c r="D168" t="s">
        <v>551</v>
      </c>
    </row>
    <row r="169" spans="1:4" hidden="1" x14ac:dyDescent="0.3">
      <c r="A169" s="140">
        <v>2419</v>
      </c>
      <c r="B169" s="64" t="s">
        <v>770</v>
      </c>
      <c r="C169" t="s">
        <v>563</v>
      </c>
      <c r="D169" t="s">
        <v>551</v>
      </c>
    </row>
    <row r="170" spans="1:4" hidden="1" x14ac:dyDescent="0.3">
      <c r="A170" s="140">
        <v>2420</v>
      </c>
      <c r="B170" s="64" t="s">
        <v>771</v>
      </c>
      <c r="C170" t="s">
        <v>563</v>
      </c>
      <c r="D170" t="s">
        <v>551</v>
      </c>
    </row>
    <row r="171" spans="1:4" hidden="1" x14ac:dyDescent="0.3">
      <c r="A171" s="140">
        <v>2421</v>
      </c>
      <c r="B171" s="64" t="s">
        <v>772</v>
      </c>
      <c r="C171" t="s">
        <v>554</v>
      </c>
      <c r="D171" t="s">
        <v>551</v>
      </c>
    </row>
    <row r="172" spans="1:4" hidden="1" x14ac:dyDescent="0.3">
      <c r="A172" s="140">
        <v>2426</v>
      </c>
      <c r="B172" s="64" t="s">
        <v>773</v>
      </c>
      <c r="C172" t="s">
        <v>563</v>
      </c>
      <c r="D172" t="s">
        <v>551</v>
      </c>
    </row>
    <row r="173" spans="1:4" hidden="1" x14ac:dyDescent="0.3">
      <c r="A173" s="140">
        <v>2427</v>
      </c>
      <c r="B173" s="64" t="s">
        <v>774</v>
      </c>
      <c r="C173" t="s">
        <v>561</v>
      </c>
      <c r="D173" t="s">
        <v>550</v>
      </c>
    </row>
    <row r="174" spans="1:4" hidden="1" x14ac:dyDescent="0.3">
      <c r="A174" s="140">
        <v>2430</v>
      </c>
      <c r="B174" s="64" t="s">
        <v>775</v>
      </c>
      <c r="C174" t="s">
        <v>554</v>
      </c>
      <c r="D174" t="s">
        <v>551</v>
      </c>
    </row>
    <row r="175" spans="1:4" hidden="1" x14ac:dyDescent="0.3">
      <c r="A175" s="140">
        <v>2432</v>
      </c>
      <c r="B175" s="64" t="s">
        <v>776</v>
      </c>
      <c r="C175" t="s">
        <v>557</v>
      </c>
      <c r="D175" t="s">
        <v>551</v>
      </c>
    </row>
    <row r="176" spans="1:4" hidden="1" x14ac:dyDescent="0.3">
      <c r="A176" s="140">
        <v>2433</v>
      </c>
      <c r="B176" s="64" t="s">
        <v>777</v>
      </c>
      <c r="C176" t="s">
        <v>554</v>
      </c>
      <c r="D176" t="s">
        <v>551</v>
      </c>
    </row>
    <row r="177" spans="1:4" hidden="1" x14ac:dyDescent="0.3">
      <c r="A177" s="140">
        <v>2434</v>
      </c>
      <c r="B177" s="64" t="s">
        <v>778</v>
      </c>
      <c r="C177" t="s">
        <v>563</v>
      </c>
      <c r="D177" t="s">
        <v>551</v>
      </c>
    </row>
    <row r="178" spans="1:4" hidden="1" x14ac:dyDescent="0.3">
      <c r="A178" s="140">
        <v>2435</v>
      </c>
      <c r="B178" s="64" t="s">
        <v>779</v>
      </c>
      <c r="C178" t="s">
        <v>553</v>
      </c>
      <c r="D178" t="s">
        <v>577</v>
      </c>
    </row>
    <row r="179" spans="1:4" hidden="1" x14ac:dyDescent="0.3">
      <c r="A179" s="140">
        <v>2436</v>
      </c>
      <c r="B179" s="64" t="s">
        <v>780</v>
      </c>
      <c r="C179" t="s">
        <v>563</v>
      </c>
      <c r="D179" t="s">
        <v>551</v>
      </c>
    </row>
    <row r="180" spans="1:4" hidden="1" x14ac:dyDescent="0.3">
      <c r="A180" s="140">
        <v>2442</v>
      </c>
      <c r="B180" s="64" t="s">
        <v>781</v>
      </c>
      <c r="C180" t="s">
        <v>561</v>
      </c>
      <c r="D180" t="s">
        <v>550</v>
      </c>
    </row>
    <row r="181" spans="1:4" hidden="1" x14ac:dyDescent="0.3">
      <c r="A181" s="140">
        <v>2443</v>
      </c>
      <c r="B181" s="64" t="s">
        <v>782</v>
      </c>
      <c r="C181" t="s">
        <v>561</v>
      </c>
      <c r="D181" t="s">
        <v>550</v>
      </c>
    </row>
    <row r="182" spans="1:4" hidden="1" x14ac:dyDescent="0.3">
      <c r="A182" s="140">
        <v>2444</v>
      </c>
      <c r="B182" s="64" t="s">
        <v>783</v>
      </c>
      <c r="C182" t="s">
        <v>561</v>
      </c>
      <c r="D182" t="s">
        <v>550</v>
      </c>
    </row>
    <row r="183" spans="1:4" hidden="1" x14ac:dyDescent="0.3">
      <c r="A183" s="140">
        <v>2445</v>
      </c>
      <c r="B183" s="64" t="s">
        <v>784</v>
      </c>
      <c r="C183" t="s">
        <v>554</v>
      </c>
      <c r="D183" t="s">
        <v>550</v>
      </c>
    </row>
    <row r="184" spans="1:4" hidden="1" x14ac:dyDescent="0.3">
      <c r="A184" s="140">
        <v>2450</v>
      </c>
      <c r="B184" s="64" t="s">
        <v>785</v>
      </c>
      <c r="C184" t="s">
        <v>561</v>
      </c>
      <c r="D184" t="s">
        <v>550</v>
      </c>
    </row>
    <row r="185" spans="1:4" hidden="1" x14ac:dyDescent="0.3">
      <c r="A185" s="140">
        <v>2451</v>
      </c>
      <c r="B185" s="64" t="s">
        <v>786</v>
      </c>
      <c r="C185" t="s">
        <v>553</v>
      </c>
      <c r="D185" t="s">
        <v>551</v>
      </c>
    </row>
    <row r="186" spans="1:4" hidden="1" x14ac:dyDescent="0.3">
      <c r="A186" s="140">
        <v>2452</v>
      </c>
      <c r="B186" s="64" t="s">
        <v>787</v>
      </c>
      <c r="C186" t="s">
        <v>563</v>
      </c>
      <c r="D186" t="s">
        <v>551</v>
      </c>
    </row>
    <row r="187" spans="1:4" hidden="1" x14ac:dyDescent="0.3">
      <c r="A187" s="140">
        <v>2455</v>
      </c>
      <c r="B187" s="64" t="s">
        <v>788</v>
      </c>
      <c r="C187" t="s">
        <v>552</v>
      </c>
      <c r="D187" t="s">
        <v>551</v>
      </c>
    </row>
    <row r="188" spans="1:4" hidden="1" x14ac:dyDescent="0.3">
      <c r="A188" s="140">
        <v>2456</v>
      </c>
      <c r="B188" s="64" t="s">
        <v>789</v>
      </c>
      <c r="C188" t="s">
        <v>553</v>
      </c>
      <c r="D188" t="s">
        <v>550</v>
      </c>
    </row>
    <row r="189" spans="1:4" hidden="1" x14ac:dyDescent="0.3">
      <c r="A189" s="140">
        <v>2462</v>
      </c>
      <c r="B189" s="64" t="s">
        <v>790</v>
      </c>
      <c r="C189" t="s">
        <v>561</v>
      </c>
      <c r="D189" t="s">
        <v>550</v>
      </c>
    </row>
    <row r="190" spans="1:4" hidden="1" x14ac:dyDescent="0.3">
      <c r="A190" s="140">
        <v>2463</v>
      </c>
      <c r="B190" s="64" t="s">
        <v>791</v>
      </c>
      <c r="C190" t="s">
        <v>554</v>
      </c>
      <c r="D190" t="s">
        <v>551</v>
      </c>
    </row>
    <row r="191" spans="1:4" hidden="1" x14ac:dyDescent="0.3">
      <c r="A191" s="140">
        <v>2464</v>
      </c>
      <c r="B191" s="64" t="s">
        <v>792</v>
      </c>
      <c r="C191" t="s">
        <v>594</v>
      </c>
      <c r="D191" t="s">
        <v>551</v>
      </c>
    </row>
    <row r="192" spans="1:4" hidden="1" x14ac:dyDescent="0.3">
      <c r="A192" s="140">
        <v>2466</v>
      </c>
      <c r="B192" s="64" t="s">
        <v>793</v>
      </c>
      <c r="C192" t="s">
        <v>553</v>
      </c>
      <c r="D192" t="s">
        <v>550</v>
      </c>
    </row>
    <row r="193" spans="1:4" hidden="1" x14ac:dyDescent="0.3">
      <c r="A193" s="140">
        <v>2467</v>
      </c>
      <c r="B193" s="64" t="s">
        <v>794</v>
      </c>
      <c r="C193" t="s">
        <v>563</v>
      </c>
      <c r="D193" t="s">
        <v>551</v>
      </c>
    </row>
    <row r="194" spans="1:4" hidden="1" x14ac:dyDescent="0.3">
      <c r="A194" s="140">
        <v>2468</v>
      </c>
      <c r="B194" s="64" t="s">
        <v>795</v>
      </c>
      <c r="C194" t="s">
        <v>554</v>
      </c>
      <c r="D194" t="s">
        <v>551</v>
      </c>
    </row>
    <row r="195" spans="1:4" hidden="1" x14ac:dyDescent="0.3">
      <c r="A195" s="140">
        <v>2469</v>
      </c>
      <c r="B195" s="64" t="s">
        <v>796</v>
      </c>
      <c r="C195" t="s">
        <v>556</v>
      </c>
      <c r="D195" t="s">
        <v>550</v>
      </c>
    </row>
    <row r="196" spans="1:4" hidden="1" x14ac:dyDescent="0.3">
      <c r="A196" s="140">
        <v>2470</v>
      </c>
      <c r="B196" s="64" t="s">
        <v>797</v>
      </c>
      <c r="C196" t="s">
        <v>589</v>
      </c>
      <c r="D196" t="s">
        <v>551</v>
      </c>
    </row>
    <row r="197" spans="1:4" hidden="1" x14ac:dyDescent="0.3">
      <c r="A197" s="140">
        <v>2471</v>
      </c>
      <c r="B197" s="64" t="s">
        <v>798</v>
      </c>
      <c r="C197" t="s">
        <v>597</v>
      </c>
      <c r="D197" t="s">
        <v>551</v>
      </c>
    </row>
    <row r="198" spans="1:4" hidden="1" x14ac:dyDescent="0.3">
      <c r="A198" s="140">
        <v>2472</v>
      </c>
      <c r="B198" s="64" t="s">
        <v>799</v>
      </c>
      <c r="C198" t="s">
        <v>552</v>
      </c>
      <c r="D198" t="s">
        <v>551</v>
      </c>
    </row>
    <row r="199" spans="1:4" hidden="1" x14ac:dyDescent="0.3">
      <c r="A199" s="140">
        <v>2474</v>
      </c>
      <c r="B199" s="64" t="s">
        <v>800</v>
      </c>
      <c r="C199" t="s">
        <v>561</v>
      </c>
      <c r="D199" t="s">
        <v>550</v>
      </c>
    </row>
    <row r="200" spans="1:4" hidden="1" x14ac:dyDescent="0.3">
      <c r="A200" s="140">
        <v>2475</v>
      </c>
      <c r="B200" s="64" t="s">
        <v>801</v>
      </c>
      <c r="C200" t="s">
        <v>558</v>
      </c>
      <c r="D200" t="s">
        <v>551</v>
      </c>
    </row>
    <row r="201" spans="1:4" hidden="1" x14ac:dyDescent="0.3">
      <c r="A201" s="140">
        <v>2476</v>
      </c>
      <c r="B201" s="64" t="s">
        <v>802</v>
      </c>
      <c r="C201" t="s">
        <v>554</v>
      </c>
      <c r="D201" t="s">
        <v>551</v>
      </c>
    </row>
    <row r="202" spans="1:4" hidden="1" x14ac:dyDescent="0.3">
      <c r="A202" s="140">
        <v>2479</v>
      </c>
      <c r="B202" s="64" t="s">
        <v>803</v>
      </c>
      <c r="C202" t="s">
        <v>554</v>
      </c>
      <c r="D202" t="s">
        <v>551</v>
      </c>
    </row>
    <row r="203" spans="1:4" hidden="1" x14ac:dyDescent="0.3">
      <c r="A203" s="140">
        <v>2480</v>
      </c>
      <c r="B203" s="64" t="s">
        <v>804</v>
      </c>
      <c r="C203" t="s">
        <v>556</v>
      </c>
      <c r="D203" t="s">
        <v>550</v>
      </c>
    </row>
    <row r="204" spans="1:4" hidden="1" x14ac:dyDescent="0.3">
      <c r="A204" s="140">
        <v>2483</v>
      </c>
      <c r="B204" s="64" t="s">
        <v>805</v>
      </c>
      <c r="C204" t="s">
        <v>561</v>
      </c>
      <c r="D204" t="s">
        <v>550</v>
      </c>
    </row>
    <row r="205" spans="1:4" hidden="1" x14ac:dyDescent="0.3">
      <c r="A205" s="140">
        <v>2485</v>
      </c>
      <c r="B205" s="64" t="s">
        <v>806</v>
      </c>
      <c r="C205" t="s">
        <v>597</v>
      </c>
      <c r="D205" t="s">
        <v>551</v>
      </c>
    </row>
    <row r="206" spans="1:4" hidden="1" x14ac:dyDescent="0.3">
      <c r="A206" s="140">
        <v>2487</v>
      </c>
      <c r="B206" s="64" t="s">
        <v>807</v>
      </c>
      <c r="C206" t="s">
        <v>553</v>
      </c>
      <c r="D206" t="s">
        <v>551</v>
      </c>
    </row>
    <row r="207" spans="1:4" hidden="1" x14ac:dyDescent="0.3">
      <c r="A207" s="140">
        <v>2488</v>
      </c>
      <c r="B207" s="64" t="s">
        <v>808</v>
      </c>
      <c r="C207" t="s">
        <v>561</v>
      </c>
      <c r="D207" t="s">
        <v>550</v>
      </c>
    </row>
    <row r="208" spans="1:4" hidden="1" x14ac:dyDescent="0.3">
      <c r="A208" s="140">
        <v>2489</v>
      </c>
      <c r="B208" s="64" t="s">
        <v>809</v>
      </c>
      <c r="C208" t="s">
        <v>562</v>
      </c>
      <c r="D208" t="s">
        <v>574</v>
      </c>
    </row>
    <row r="209" spans="1:4" hidden="1" x14ac:dyDescent="0.3">
      <c r="A209" s="140">
        <v>2490</v>
      </c>
      <c r="B209" s="64" t="s">
        <v>810</v>
      </c>
      <c r="C209" t="s">
        <v>562</v>
      </c>
      <c r="D209" t="s">
        <v>572</v>
      </c>
    </row>
    <row r="210" spans="1:4" hidden="1" x14ac:dyDescent="0.3">
      <c r="A210" s="140">
        <v>2491</v>
      </c>
      <c r="B210" s="64" t="s">
        <v>811</v>
      </c>
      <c r="C210" t="s">
        <v>562</v>
      </c>
      <c r="D210" t="s">
        <v>582</v>
      </c>
    </row>
    <row r="211" spans="1:4" hidden="1" x14ac:dyDescent="0.3">
      <c r="A211" s="140">
        <v>2492</v>
      </c>
      <c r="B211" s="64" t="s">
        <v>812</v>
      </c>
      <c r="C211" t="s">
        <v>556</v>
      </c>
      <c r="D211" t="s">
        <v>550</v>
      </c>
    </row>
    <row r="212" spans="1:4" hidden="1" x14ac:dyDescent="0.3">
      <c r="A212" s="140">
        <v>2493</v>
      </c>
      <c r="B212" s="64" t="s">
        <v>813</v>
      </c>
      <c r="C212" t="s">
        <v>553</v>
      </c>
      <c r="D212" t="s">
        <v>550</v>
      </c>
    </row>
    <row r="213" spans="1:4" hidden="1" x14ac:dyDescent="0.3">
      <c r="A213" s="140">
        <v>2494</v>
      </c>
      <c r="B213" s="64" t="s">
        <v>814</v>
      </c>
      <c r="C213" t="s">
        <v>586</v>
      </c>
      <c r="D213" t="s">
        <v>551</v>
      </c>
    </row>
    <row r="214" spans="1:4" hidden="1" x14ac:dyDescent="0.3">
      <c r="A214" s="140">
        <v>2501</v>
      </c>
      <c r="B214" s="64" t="s">
        <v>815</v>
      </c>
      <c r="C214" t="s">
        <v>556</v>
      </c>
      <c r="D214" t="s">
        <v>577</v>
      </c>
    </row>
    <row r="215" spans="1:4" hidden="1" x14ac:dyDescent="0.3">
      <c r="A215" s="140">
        <v>2504</v>
      </c>
      <c r="B215" s="64" t="s">
        <v>816</v>
      </c>
      <c r="C215" t="s">
        <v>562</v>
      </c>
      <c r="D215" t="s">
        <v>575</v>
      </c>
    </row>
    <row r="216" spans="1:4" hidden="1" x14ac:dyDescent="0.3">
      <c r="A216" s="140">
        <v>2507</v>
      </c>
      <c r="B216" s="64" t="s">
        <v>817</v>
      </c>
      <c r="C216" t="s">
        <v>563</v>
      </c>
      <c r="D216" t="s">
        <v>551</v>
      </c>
    </row>
    <row r="217" spans="1:4" hidden="1" x14ac:dyDescent="0.3">
      <c r="A217" s="140">
        <v>2508</v>
      </c>
      <c r="B217" s="64" t="s">
        <v>818</v>
      </c>
      <c r="C217" t="s">
        <v>563</v>
      </c>
      <c r="D217" t="s">
        <v>551</v>
      </c>
    </row>
    <row r="218" spans="1:4" hidden="1" x14ac:dyDescent="0.3">
      <c r="A218" s="140">
        <v>2510</v>
      </c>
      <c r="B218" s="64" t="s">
        <v>819</v>
      </c>
      <c r="C218" t="s">
        <v>563</v>
      </c>
      <c r="D218" t="s">
        <v>551</v>
      </c>
    </row>
    <row r="219" spans="1:4" hidden="1" x14ac:dyDescent="0.3">
      <c r="A219" s="140">
        <v>2511</v>
      </c>
      <c r="B219" s="64" t="s">
        <v>820</v>
      </c>
      <c r="C219" t="s">
        <v>563</v>
      </c>
      <c r="D219" t="s">
        <v>551</v>
      </c>
    </row>
    <row r="220" spans="1:4" hidden="1" x14ac:dyDescent="0.3">
      <c r="A220" s="140">
        <v>2512</v>
      </c>
      <c r="B220" s="64" t="s">
        <v>821</v>
      </c>
      <c r="C220" t="s">
        <v>563</v>
      </c>
      <c r="D220" t="s">
        <v>551</v>
      </c>
    </row>
    <row r="221" spans="1:4" hidden="1" x14ac:dyDescent="0.3">
      <c r="A221" s="140">
        <v>2513</v>
      </c>
      <c r="B221" s="64" t="s">
        <v>822</v>
      </c>
      <c r="C221" t="s">
        <v>556</v>
      </c>
      <c r="D221" t="s">
        <v>551</v>
      </c>
    </row>
    <row r="222" spans="1:4" hidden="1" x14ac:dyDescent="0.3">
      <c r="A222" s="140">
        <v>2515</v>
      </c>
      <c r="B222" s="64" t="s">
        <v>823</v>
      </c>
      <c r="C222" t="s">
        <v>563</v>
      </c>
      <c r="D222" t="s">
        <v>551</v>
      </c>
    </row>
    <row r="223" spans="1:4" hidden="1" x14ac:dyDescent="0.3">
      <c r="A223" s="140">
        <v>2517</v>
      </c>
      <c r="B223" s="64" t="s">
        <v>824</v>
      </c>
      <c r="C223" t="s">
        <v>563</v>
      </c>
      <c r="D223" t="s">
        <v>551</v>
      </c>
    </row>
    <row r="224" spans="1:4" hidden="1" x14ac:dyDescent="0.3">
      <c r="A224" s="140">
        <v>2518</v>
      </c>
      <c r="B224" s="64" t="s">
        <v>825</v>
      </c>
      <c r="C224" t="s">
        <v>563</v>
      </c>
      <c r="D224" t="s">
        <v>551</v>
      </c>
    </row>
    <row r="225" spans="1:4" hidden="1" x14ac:dyDescent="0.3">
      <c r="A225" s="140">
        <v>2519</v>
      </c>
      <c r="B225" s="64" t="s">
        <v>826</v>
      </c>
      <c r="C225" t="s">
        <v>561</v>
      </c>
      <c r="D225" t="s">
        <v>550</v>
      </c>
    </row>
    <row r="226" spans="1:4" hidden="1" x14ac:dyDescent="0.3">
      <c r="A226" s="140">
        <v>2520</v>
      </c>
      <c r="B226" s="64" t="s">
        <v>827</v>
      </c>
      <c r="C226" t="s">
        <v>556</v>
      </c>
      <c r="D226" t="s">
        <v>550</v>
      </c>
    </row>
    <row r="227" spans="1:4" hidden="1" x14ac:dyDescent="0.3">
      <c r="A227" s="140">
        <v>2522</v>
      </c>
      <c r="B227" s="64" t="s">
        <v>828</v>
      </c>
      <c r="C227" t="s">
        <v>561</v>
      </c>
      <c r="D227" t="s">
        <v>550</v>
      </c>
    </row>
    <row r="228" spans="1:4" hidden="1" x14ac:dyDescent="0.3">
      <c r="A228" s="140">
        <v>2524</v>
      </c>
      <c r="B228" s="64" t="s">
        <v>829</v>
      </c>
      <c r="C228" t="s">
        <v>553</v>
      </c>
      <c r="D228" t="s">
        <v>550</v>
      </c>
    </row>
    <row r="229" spans="1:4" hidden="1" x14ac:dyDescent="0.3">
      <c r="A229" s="140">
        <v>2531</v>
      </c>
      <c r="B229" s="64" t="s">
        <v>830</v>
      </c>
      <c r="C229" t="s">
        <v>554</v>
      </c>
      <c r="D229" t="s">
        <v>551</v>
      </c>
    </row>
    <row r="230" spans="1:4" hidden="1" x14ac:dyDescent="0.3">
      <c r="A230" s="140">
        <v>2533</v>
      </c>
      <c r="B230" s="64" t="s">
        <v>831</v>
      </c>
      <c r="C230" t="s">
        <v>563</v>
      </c>
      <c r="D230" t="s">
        <v>551</v>
      </c>
    </row>
    <row r="231" spans="1:4" hidden="1" x14ac:dyDescent="0.3">
      <c r="A231" s="140">
        <v>2534</v>
      </c>
      <c r="B231" s="64" t="s">
        <v>832</v>
      </c>
      <c r="C231" t="s">
        <v>562</v>
      </c>
      <c r="D231" t="s">
        <v>571</v>
      </c>
    </row>
    <row r="232" spans="1:4" hidden="1" x14ac:dyDescent="0.3">
      <c r="A232" s="140">
        <v>2537</v>
      </c>
      <c r="B232" s="64" t="s">
        <v>833</v>
      </c>
      <c r="C232" t="s">
        <v>558</v>
      </c>
      <c r="D232" t="s">
        <v>551</v>
      </c>
    </row>
    <row r="233" spans="1:4" hidden="1" x14ac:dyDescent="0.3">
      <c r="A233" s="140">
        <v>2538</v>
      </c>
      <c r="B233" s="64" t="s">
        <v>834</v>
      </c>
      <c r="C233" t="s">
        <v>559</v>
      </c>
      <c r="D233" t="s">
        <v>551</v>
      </c>
    </row>
    <row r="234" spans="1:4" hidden="1" x14ac:dyDescent="0.3">
      <c r="A234" s="140">
        <v>2547</v>
      </c>
      <c r="B234" s="64" t="s">
        <v>835</v>
      </c>
      <c r="C234" t="s">
        <v>561</v>
      </c>
      <c r="D234" t="s">
        <v>550</v>
      </c>
    </row>
    <row r="235" spans="1:4" hidden="1" x14ac:dyDescent="0.3">
      <c r="A235" s="140">
        <v>2549</v>
      </c>
      <c r="B235" s="64" t="s">
        <v>836</v>
      </c>
      <c r="C235" t="s">
        <v>598</v>
      </c>
      <c r="D235" t="s">
        <v>551</v>
      </c>
    </row>
    <row r="236" spans="1:4" hidden="1" x14ac:dyDescent="0.3">
      <c r="A236" s="140">
        <v>2550</v>
      </c>
      <c r="B236" s="64" t="s">
        <v>837</v>
      </c>
      <c r="C236" t="s">
        <v>553</v>
      </c>
      <c r="D236" t="s">
        <v>551</v>
      </c>
    </row>
    <row r="237" spans="1:4" hidden="1" x14ac:dyDescent="0.3">
      <c r="A237" s="140">
        <v>2553</v>
      </c>
      <c r="B237" s="64" t="s">
        <v>838</v>
      </c>
      <c r="C237" t="s">
        <v>561</v>
      </c>
      <c r="D237" t="s">
        <v>550</v>
      </c>
    </row>
    <row r="238" spans="1:4" hidden="1" x14ac:dyDescent="0.3">
      <c r="A238" s="140">
        <v>2554</v>
      </c>
      <c r="B238" s="64" t="s">
        <v>839</v>
      </c>
      <c r="C238" t="s">
        <v>561</v>
      </c>
      <c r="D238" t="s">
        <v>550</v>
      </c>
    </row>
    <row r="239" spans="1:4" hidden="1" x14ac:dyDescent="0.3">
      <c r="A239" s="140">
        <v>2555</v>
      </c>
      <c r="B239" s="64" t="s">
        <v>840</v>
      </c>
      <c r="C239" t="s">
        <v>561</v>
      </c>
      <c r="D239" t="s">
        <v>550</v>
      </c>
    </row>
    <row r="240" spans="1:4" hidden="1" x14ac:dyDescent="0.3">
      <c r="A240" s="140">
        <v>2556</v>
      </c>
      <c r="B240" s="64" t="s">
        <v>841</v>
      </c>
      <c r="C240" t="s">
        <v>554</v>
      </c>
      <c r="D240" t="s">
        <v>551</v>
      </c>
    </row>
    <row r="241" spans="1:4" hidden="1" x14ac:dyDescent="0.3">
      <c r="A241" s="140">
        <v>2557</v>
      </c>
      <c r="B241" s="64" t="s">
        <v>842</v>
      </c>
      <c r="C241" t="s">
        <v>561</v>
      </c>
      <c r="D241" t="s">
        <v>550</v>
      </c>
    </row>
    <row r="242" spans="1:4" hidden="1" x14ac:dyDescent="0.3">
      <c r="A242" s="140">
        <v>2558</v>
      </c>
      <c r="B242" s="64" t="s">
        <v>843</v>
      </c>
      <c r="C242" t="s">
        <v>563</v>
      </c>
      <c r="D242" t="s">
        <v>551</v>
      </c>
    </row>
    <row r="243" spans="1:4" hidden="1" x14ac:dyDescent="0.3">
      <c r="A243" s="140">
        <v>2560</v>
      </c>
      <c r="B243" s="64" t="s">
        <v>844</v>
      </c>
      <c r="C243" t="s">
        <v>563</v>
      </c>
      <c r="D243" t="s">
        <v>551</v>
      </c>
    </row>
    <row r="244" spans="1:4" hidden="1" x14ac:dyDescent="0.3">
      <c r="A244" s="140">
        <v>2561</v>
      </c>
      <c r="B244" s="64" t="s">
        <v>845</v>
      </c>
      <c r="C244" t="s">
        <v>561</v>
      </c>
      <c r="D244" t="s">
        <v>550</v>
      </c>
    </row>
    <row r="245" spans="1:4" x14ac:dyDescent="0.3">
      <c r="A245" s="140">
        <v>2562</v>
      </c>
      <c r="B245" s="64" t="s">
        <v>846</v>
      </c>
      <c r="C245" t="s">
        <v>592</v>
      </c>
      <c r="D245" t="s">
        <v>551</v>
      </c>
    </row>
    <row r="246" spans="1:4" hidden="1" x14ac:dyDescent="0.3">
      <c r="A246" s="140">
        <v>2563</v>
      </c>
      <c r="B246" s="64" t="s">
        <v>847</v>
      </c>
      <c r="C246" t="s">
        <v>561</v>
      </c>
      <c r="D246" t="s">
        <v>550</v>
      </c>
    </row>
    <row r="247" spans="1:4" hidden="1" x14ac:dyDescent="0.3">
      <c r="A247" s="140">
        <v>2564</v>
      </c>
      <c r="B247" s="64" t="s">
        <v>848</v>
      </c>
      <c r="C247" t="s">
        <v>563</v>
      </c>
      <c r="D247" t="s">
        <v>551</v>
      </c>
    </row>
    <row r="248" spans="1:4" hidden="1" x14ac:dyDescent="0.3">
      <c r="A248" s="140">
        <v>2565</v>
      </c>
      <c r="B248" s="64" t="s">
        <v>849</v>
      </c>
      <c r="C248" t="s">
        <v>553</v>
      </c>
      <c r="D248" t="s">
        <v>550</v>
      </c>
    </row>
    <row r="249" spans="1:4" hidden="1" x14ac:dyDescent="0.3">
      <c r="A249" s="140">
        <v>2566</v>
      </c>
      <c r="B249" s="64" t="s">
        <v>850</v>
      </c>
      <c r="C249" t="s">
        <v>554</v>
      </c>
      <c r="D249" t="s">
        <v>551</v>
      </c>
    </row>
    <row r="250" spans="1:4" hidden="1" x14ac:dyDescent="0.3">
      <c r="A250" s="140">
        <v>2567</v>
      </c>
      <c r="B250" s="64" t="s">
        <v>851</v>
      </c>
      <c r="C250" t="s">
        <v>554</v>
      </c>
      <c r="D250" t="s">
        <v>551</v>
      </c>
    </row>
    <row r="251" spans="1:4" hidden="1" x14ac:dyDescent="0.3">
      <c r="A251" s="140">
        <v>2568</v>
      </c>
      <c r="B251" s="64" t="s">
        <v>852</v>
      </c>
      <c r="C251" t="s">
        <v>553</v>
      </c>
      <c r="D251" t="s">
        <v>550</v>
      </c>
    </row>
    <row r="252" spans="1:4" hidden="1" x14ac:dyDescent="0.3">
      <c r="A252" s="140">
        <v>2569</v>
      </c>
      <c r="B252" s="64" t="s">
        <v>853</v>
      </c>
      <c r="C252" t="s">
        <v>553</v>
      </c>
      <c r="D252" t="s">
        <v>550</v>
      </c>
    </row>
    <row r="253" spans="1:4" hidden="1" x14ac:dyDescent="0.3">
      <c r="A253" s="140">
        <v>2570</v>
      </c>
      <c r="B253" s="64" t="s">
        <v>854</v>
      </c>
      <c r="C253" t="s">
        <v>557</v>
      </c>
      <c r="D253" t="s">
        <v>551</v>
      </c>
    </row>
    <row r="254" spans="1:4" hidden="1" x14ac:dyDescent="0.3">
      <c r="A254" s="140">
        <v>2573</v>
      </c>
      <c r="B254" s="64" t="s">
        <v>855</v>
      </c>
      <c r="C254" t="s">
        <v>563</v>
      </c>
      <c r="D254" t="s">
        <v>551</v>
      </c>
    </row>
    <row r="255" spans="1:4" hidden="1" x14ac:dyDescent="0.3">
      <c r="A255" s="140">
        <v>2574</v>
      </c>
      <c r="B255" s="64" t="s">
        <v>856</v>
      </c>
      <c r="C255" t="s">
        <v>586</v>
      </c>
      <c r="D255" t="s">
        <v>551</v>
      </c>
    </row>
    <row r="256" spans="1:4" hidden="1" x14ac:dyDescent="0.3">
      <c r="A256" s="140">
        <v>2575</v>
      </c>
      <c r="B256" s="64" t="s">
        <v>857</v>
      </c>
      <c r="C256" t="s">
        <v>589</v>
      </c>
      <c r="D256" t="s">
        <v>577</v>
      </c>
    </row>
    <row r="257" spans="1:4" hidden="1" x14ac:dyDescent="0.3">
      <c r="A257" s="140">
        <v>2576</v>
      </c>
      <c r="B257" s="64" t="s">
        <v>858</v>
      </c>
      <c r="C257" t="s">
        <v>561</v>
      </c>
      <c r="D257" t="s">
        <v>550</v>
      </c>
    </row>
    <row r="258" spans="1:4" hidden="1" x14ac:dyDescent="0.3">
      <c r="A258" s="140">
        <v>2579</v>
      </c>
      <c r="B258" s="64" t="s">
        <v>859</v>
      </c>
      <c r="C258" t="s">
        <v>559</v>
      </c>
      <c r="D258" t="s">
        <v>551</v>
      </c>
    </row>
    <row r="259" spans="1:4" hidden="1" x14ac:dyDescent="0.3">
      <c r="A259" s="140">
        <v>2582</v>
      </c>
      <c r="B259" s="64" t="s">
        <v>860</v>
      </c>
      <c r="C259" t="s">
        <v>552</v>
      </c>
      <c r="D259" t="s">
        <v>550</v>
      </c>
    </row>
    <row r="260" spans="1:4" hidden="1" x14ac:dyDescent="0.3">
      <c r="A260" s="140">
        <v>2583</v>
      </c>
      <c r="B260" s="64" t="s">
        <v>861</v>
      </c>
      <c r="C260" t="s">
        <v>552</v>
      </c>
      <c r="D260" t="s">
        <v>550</v>
      </c>
    </row>
    <row r="261" spans="1:4" hidden="1" x14ac:dyDescent="0.3">
      <c r="A261" s="140">
        <v>2584</v>
      </c>
      <c r="B261" s="64" t="s">
        <v>862</v>
      </c>
      <c r="C261" t="s">
        <v>554</v>
      </c>
      <c r="D261" t="s">
        <v>551</v>
      </c>
    </row>
    <row r="262" spans="1:4" hidden="1" x14ac:dyDescent="0.3">
      <c r="A262" s="140">
        <v>2585</v>
      </c>
      <c r="B262" s="64" t="s">
        <v>863</v>
      </c>
      <c r="C262" t="s">
        <v>561</v>
      </c>
      <c r="D262" t="s">
        <v>550</v>
      </c>
    </row>
    <row r="263" spans="1:4" hidden="1" x14ac:dyDescent="0.3">
      <c r="A263" s="140">
        <v>2586</v>
      </c>
      <c r="B263" s="64" t="s">
        <v>864</v>
      </c>
      <c r="C263" t="s">
        <v>561</v>
      </c>
      <c r="D263" t="s">
        <v>550</v>
      </c>
    </row>
    <row r="264" spans="1:4" hidden="1" x14ac:dyDescent="0.3">
      <c r="A264" s="140">
        <v>2587</v>
      </c>
      <c r="B264" s="64" t="s">
        <v>865</v>
      </c>
      <c r="C264" t="s">
        <v>553</v>
      </c>
      <c r="D264" t="s">
        <v>550</v>
      </c>
    </row>
    <row r="265" spans="1:4" hidden="1" x14ac:dyDescent="0.3">
      <c r="A265" s="140">
        <v>2588</v>
      </c>
      <c r="B265" s="64" t="s">
        <v>866</v>
      </c>
      <c r="C265" t="s">
        <v>561</v>
      </c>
      <c r="D265" t="s">
        <v>550</v>
      </c>
    </row>
    <row r="266" spans="1:4" hidden="1" x14ac:dyDescent="0.3">
      <c r="A266" s="140">
        <v>2589</v>
      </c>
      <c r="B266" s="64" t="s">
        <v>867</v>
      </c>
      <c r="C266" t="s">
        <v>558</v>
      </c>
      <c r="D266" t="s">
        <v>551</v>
      </c>
    </row>
    <row r="267" spans="1:4" hidden="1" x14ac:dyDescent="0.3">
      <c r="A267" s="140">
        <v>2590</v>
      </c>
      <c r="B267" s="64" t="s">
        <v>868</v>
      </c>
      <c r="C267" t="s">
        <v>563</v>
      </c>
      <c r="D267" t="s">
        <v>551</v>
      </c>
    </row>
    <row r="268" spans="1:4" hidden="1" x14ac:dyDescent="0.3">
      <c r="A268" s="140">
        <v>2591</v>
      </c>
      <c r="B268" s="64" t="s">
        <v>869</v>
      </c>
      <c r="C268" t="s">
        <v>563</v>
      </c>
      <c r="D268" t="s">
        <v>551</v>
      </c>
    </row>
    <row r="269" spans="1:4" hidden="1" x14ac:dyDescent="0.3">
      <c r="A269" s="140">
        <v>2592</v>
      </c>
      <c r="B269" s="64" t="s">
        <v>870</v>
      </c>
      <c r="C269" t="s">
        <v>563</v>
      </c>
      <c r="D269" t="s">
        <v>551</v>
      </c>
    </row>
    <row r="270" spans="1:4" hidden="1" x14ac:dyDescent="0.3">
      <c r="A270" s="140">
        <v>2593</v>
      </c>
      <c r="B270" s="64" t="s">
        <v>871</v>
      </c>
      <c r="C270" t="s">
        <v>563</v>
      </c>
      <c r="D270" t="s">
        <v>551</v>
      </c>
    </row>
    <row r="271" spans="1:4" hidden="1" x14ac:dyDescent="0.3">
      <c r="A271" s="140">
        <v>2594</v>
      </c>
      <c r="B271" s="64" t="s">
        <v>872</v>
      </c>
      <c r="C271" t="s">
        <v>563</v>
      </c>
      <c r="D271" t="s">
        <v>551</v>
      </c>
    </row>
    <row r="272" spans="1:4" hidden="1" x14ac:dyDescent="0.3">
      <c r="A272" s="140">
        <v>2595</v>
      </c>
      <c r="B272" s="64" t="s">
        <v>873</v>
      </c>
      <c r="C272" t="s">
        <v>563</v>
      </c>
      <c r="D272" t="s">
        <v>551</v>
      </c>
    </row>
    <row r="273" spans="1:4" hidden="1" x14ac:dyDescent="0.3">
      <c r="A273" s="140">
        <v>2596</v>
      </c>
      <c r="B273" s="64" t="s">
        <v>874</v>
      </c>
      <c r="C273" t="s">
        <v>563</v>
      </c>
      <c r="D273" t="s">
        <v>551</v>
      </c>
    </row>
    <row r="274" spans="1:4" hidden="1" x14ac:dyDescent="0.3">
      <c r="A274" s="140">
        <v>2597</v>
      </c>
      <c r="B274" s="64" t="s">
        <v>875</v>
      </c>
      <c r="C274" t="s">
        <v>556</v>
      </c>
      <c r="D274" t="s">
        <v>551</v>
      </c>
    </row>
    <row r="275" spans="1:4" hidden="1" x14ac:dyDescent="0.3">
      <c r="A275" s="140">
        <v>2598</v>
      </c>
      <c r="B275" s="64" t="s">
        <v>876</v>
      </c>
      <c r="C275" t="s">
        <v>563</v>
      </c>
      <c r="D275" t="s">
        <v>551</v>
      </c>
    </row>
    <row r="276" spans="1:4" hidden="1" x14ac:dyDescent="0.3">
      <c r="A276" s="140">
        <v>2603</v>
      </c>
      <c r="B276" s="64" t="s">
        <v>877</v>
      </c>
      <c r="C276" t="s">
        <v>558</v>
      </c>
      <c r="D276" t="s">
        <v>551</v>
      </c>
    </row>
    <row r="277" spans="1:4" hidden="1" x14ac:dyDescent="0.3">
      <c r="A277" s="140">
        <v>2604</v>
      </c>
      <c r="B277" s="64" t="s">
        <v>878</v>
      </c>
      <c r="C277" t="s">
        <v>562</v>
      </c>
      <c r="D277" t="s">
        <v>584</v>
      </c>
    </row>
    <row r="278" spans="1:4" hidden="1" x14ac:dyDescent="0.3">
      <c r="A278" s="140">
        <v>2605</v>
      </c>
      <c r="B278" s="64" t="s">
        <v>879</v>
      </c>
      <c r="C278" t="s">
        <v>562</v>
      </c>
      <c r="D278" t="s">
        <v>588</v>
      </c>
    </row>
    <row r="279" spans="1:4" hidden="1" x14ac:dyDescent="0.3">
      <c r="A279" s="140">
        <v>2606</v>
      </c>
      <c r="B279" s="64" t="s">
        <v>880</v>
      </c>
      <c r="C279" t="s">
        <v>562</v>
      </c>
      <c r="D279" t="s">
        <v>564</v>
      </c>
    </row>
    <row r="280" spans="1:4" hidden="1" x14ac:dyDescent="0.3">
      <c r="A280" s="140">
        <v>2607</v>
      </c>
      <c r="B280" s="64" t="s">
        <v>881</v>
      </c>
      <c r="C280" t="s">
        <v>562</v>
      </c>
      <c r="D280" t="s">
        <v>580</v>
      </c>
    </row>
    <row r="281" spans="1:4" hidden="1" x14ac:dyDescent="0.3">
      <c r="A281" s="140">
        <v>2608</v>
      </c>
      <c r="B281" s="64" t="s">
        <v>882</v>
      </c>
      <c r="C281" t="s">
        <v>562</v>
      </c>
      <c r="D281" t="s">
        <v>578</v>
      </c>
    </row>
    <row r="282" spans="1:4" hidden="1" x14ac:dyDescent="0.3">
      <c r="A282" s="140">
        <v>2609</v>
      </c>
      <c r="B282" s="64" t="s">
        <v>883</v>
      </c>
      <c r="C282" t="s">
        <v>559</v>
      </c>
      <c r="D282" t="s">
        <v>551</v>
      </c>
    </row>
    <row r="283" spans="1:4" hidden="1" x14ac:dyDescent="0.3">
      <c r="A283" s="140">
        <v>2613</v>
      </c>
      <c r="B283" s="64" t="s">
        <v>884</v>
      </c>
      <c r="C283" t="s">
        <v>554</v>
      </c>
      <c r="D283" t="s">
        <v>550</v>
      </c>
    </row>
    <row r="284" spans="1:4" hidden="1" x14ac:dyDescent="0.3">
      <c r="A284" s="140">
        <v>2616</v>
      </c>
      <c r="B284" s="64" t="s">
        <v>885</v>
      </c>
      <c r="C284" t="s">
        <v>552</v>
      </c>
      <c r="D284" t="s">
        <v>590</v>
      </c>
    </row>
    <row r="285" spans="1:4" hidden="1" x14ac:dyDescent="0.3">
      <c r="A285" s="140">
        <v>2617</v>
      </c>
      <c r="B285" s="64" t="s">
        <v>886</v>
      </c>
      <c r="C285" t="s">
        <v>589</v>
      </c>
      <c r="D285" t="s">
        <v>550</v>
      </c>
    </row>
    <row r="286" spans="1:4" hidden="1" x14ac:dyDescent="0.3">
      <c r="A286" s="140">
        <v>2618</v>
      </c>
      <c r="B286" s="64" t="s">
        <v>887</v>
      </c>
      <c r="C286" t="s">
        <v>589</v>
      </c>
      <c r="D286" t="s">
        <v>550</v>
      </c>
    </row>
    <row r="287" spans="1:4" hidden="1" x14ac:dyDescent="0.3">
      <c r="A287" s="140">
        <v>2619</v>
      </c>
      <c r="B287" s="64" t="s">
        <v>888</v>
      </c>
      <c r="C287" t="s">
        <v>589</v>
      </c>
      <c r="D287" t="s">
        <v>550</v>
      </c>
    </row>
    <row r="288" spans="1:4" hidden="1" x14ac:dyDescent="0.3">
      <c r="A288" s="140">
        <v>2620</v>
      </c>
      <c r="B288" s="64" t="s">
        <v>889</v>
      </c>
      <c r="C288" t="s">
        <v>561</v>
      </c>
      <c r="D288" t="s">
        <v>550</v>
      </c>
    </row>
    <row r="289" spans="1:4" hidden="1" x14ac:dyDescent="0.3">
      <c r="A289" s="140">
        <v>2621</v>
      </c>
      <c r="B289" s="64" t="s">
        <v>890</v>
      </c>
      <c r="C289" t="s">
        <v>563</v>
      </c>
      <c r="D289" t="s">
        <v>551</v>
      </c>
    </row>
    <row r="290" spans="1:4" hidden="1" x14ac:dyDescent="0.3">
      <c r="A290" s="140">
        <v>2622</v>
      </c>
      <c r="B290" s="64" t="s">
        <v>891</v>
      </c>
      <c r="C290" t="s">
        <v>554</v>
      </c>
      <c r="D290" t="s">
        <v>550</v>
      </c>
    </row>
    <row r="291" spans="1:4" hidden="1" x14ac:dyDescent="0.3">
      <c r="A291" s="140">
        <v>2623</v>
      </c>
      <c r="B291" s="64" t="s">
        <v>892</v>
      </c>
      <c r="C291" t="s">
        <v>561</v>
      </c>
      <c r="D291" t="s">
        <v>550</v>
      </c>
    </row>
    <row r="292" spans="1:4" x14ac:dyDescent="0.3">
      <c r="A292" s="140">
        <v>2624</v>
      </c>
      <c r="B292" s="64" t="s">
        <v>893</v>
      </c>
      <c r="C292" t="s">
        <v>592</v>
      </c>
      <c r="D292" t="s">
        <v>551</v>
      </c>
    </row>
    <row r="293" spans="1:4" hidden="1" x14ac:dyDescent="0.3">
      <c r="A293" s="140">
        <v>2625</v>
      </c>
      <c r="B293" s="64" t="s">
        <v>894</v>
      </c>
      <c r="C293" t="s">
        <v>563</v>
      </c>
      <c r="D293" t="s">
        <v>551</v>
      </c>
    </row>
    <row r="294" spans="1:4" hidden="1" x14ac:dyDescent="0.3">
      <c r="A294" s="140">
        <v>2626</v>
      </c>
      <c r="B294" s="64" t="s">
        <v>895</v>
      </c>
      <c r="C294" t="s">
        <v>296</v>
      </c>
      <c r="D294" t="s">
        <v>551</v>
      </c>
    </row>
    <row r="295" spans="1:4" hidden="1" x14ac:dyDescent="0.3">
      <c r="A295" s="140">
        <v>2627</v>
      </c>
      <c r="B295" s="64" t="s">
        <v>896</v>
      </c>
      <c r="C295" t="s">
        <v>553</v>
      </c>
      <c r="D295" t="s">
        <v>551</v>
      </c>
    </row>
    <row r="296" spans="1:4" hidden="1" x14ac:dyDescent="0.3">
      <c r="A296" s="140">
        <v>2628</v>
      </c>
      <c r="B296" s="64" t="s">
        <v>897</v>
      </c>
      <c r="C296" t="s">
        <v>563</v>
      </c>
      <c r="D296" t="s">
        <v>551</v>
      </c>
    </row>
    <row r="297" spans="1:4" hidden="1" x14ac:dyDescent="0.3">
      <c r="A297" s="140">
        <v>2630</v>
      </c>
      <c r="B297" s="64" t="s">
        <v>898</v>
      </c>
      <c r="C297" t="s">
        <v>587</v>
      </c>
      <c r="D297" t="s">
        <v>577</v>
      </c>
    </row>
    <row r="298" spans="1:4" hidden="1" x14ac:dyDescent="0.3">
      <c r="A298" s="140">
        <v>2631</v>
      </c>
      <c r="B298" s="64" t="s">
        <v>899</v>
      </c>
      <c r="C298" t="s">
        <v>587</v>
      </c>
      <c r="D298" t="s">
        <v>577</v>
      </c>
    </row>
    <row r="299" spans="1:4" hidden="1" x14ac:dyDescent="0.3">
      <c r="A299" s="140">
        <v>2632</v>
      </c>
      <c r="B299" s="64" t="s">
        <v>900</v>
      </c>
      <c r="C299" t="s">
        <v>553</v>
      </c>
      <c r="D299" t="s">
        <v>551</v>
      </c>
    </row>
    <row r="300" spans="1:4" hidden="1" x14ac:dyDescent="0.3">
      <c r="A300" s="140">
        <v>2634</v>
      </c>
      <c r="B300" s="64" t="s">
        <v>901</v>
      </c>
      <c r="C300" t="s">
        <v>599</v>
      </c>
      <c r="D300" t="s">
        <v>577</v>
      </c>
    </row>
    <row r="301" spans="1:4" hidden="1" x14ac:dyDescent="0.3">
      <c r="A301" s="140">
        <v>2638</v>
      </c>
      <c r="B301" s="64" t="s">
        <v>902</v>
      </c>
      <c r="C301" t="s">
        <v>553</v>
      </c>
      <c r="D301" t="s">
        <v>577</v>
      </c>
    </row>
    <row r="302" spans="1:4" hidden="1" x14ac:dyDescent="0.3">
      <c r="A302" s="140">
        <v>2639</v>
      </c>
      <c r="B302" s="64" t="s">
        <v>903</v>
      </c>
      <c r="C302" t="s">
        <v>563</v>
      </c>
      <c r="D302" t="s">
        <v>551</v>
      </c>
    </row>
    <row r="303" spans="1:4" hidden="1" x14ac:dyDescent="0.3">
      <c r="A303" s="140">
        <v>2640</v>
      </c>
      <c r="B303" s="64" t="s">
        <v>904</v>
      </c>
      <c r="C303" t="s">
        <v>563</v>
      </c>
      <c r="D303" t="s">
        <v>551</v>
      </c>
    </row>
    <row r="304" spans="1:4" hidden="1" x14ac:dyDescent="0.3">
      <c r="A304" s="140">
        <v>2641</v>
      </c>
      <c r="B304" s="64" t="s">
        <v>905</v>
      </c>
      <c r="C304" t="s">
        <v>563</v>
      </c>
      <c r="D304" t="s">
        <v>551</v>
      </c>
    </row>
    <row r="305" spans="1:4" hidden="1" x14ac:dyDescent="0.3">
      <c r="A305" s="140">
        <v>2642</v>
      </c>
      <c r="B305" s="64" t="s">
        <v>906</v>
      </c>
      <c r="C305" t="s">
        <v>563</v>
      </c>
      <c r="D305" t="s">
        <v>551</v>
      </c>
    </row>
    <row r="306" spans="1:4" hidden="1" x14ac:dyDescent="0.3">
      <c r="A306" s="140">
        <v>2643</v>
      </c>
      <c r="B306" s="64" t="s">
        <v>907</v>
      </c>
      <c r="C306" t="s">
        <v>563</v>
      </c>
      <c r="D306" t="s">
        <v>551</v>
      </c>
    </row>
    <row r="307" spans="1:4" hidden="1" x14ac:dyDescent="0.3">
      <c r="A307" s="140">
        <v>2644</v>
      </c>
      <c r="B307" s="64" t="s">
        <v>908</v>
      </c>
      <c r="C307" t="s">
        <v>563</v>
      </c>
      <c r="D307" t="s">
        <v>551</v>
      </c>
    </row>
    <row r="308" spans="1:4" hidden="1" x14ac:dyDescent="0.3">
      <c r="A308" s="140">
        <v>2645</v>
      </c>
      <c r="B308" s="64" t="s">
        <v>909</v>
      </c>
      <c r="C308" t="s">
        <v>563</v>
      </c>
      <c r="D308" t="s">
        <v>551</v>
      </c>
    </row>
    <row r="309" spans="1:4" hidden="1" x14ac:dyDescent="0.3">
      <c r="A309" s="140">
        <v>2646</v>
      </c>
      <c r="B309" s="64" t="s">
        <v>910</v>
      </c>
      <c r="C309" t="s">
        <v>563</v>
      </c>
      <c r="D309" t="s">
        <v>551</v>
      </c>
    </row>
    <row r="310" spans="1:4" hidden="1" x14ac:dyDescent="0.3">
      <c r="A310" s="140">
        <v>2647</v>
      </c>
      <c r="B310" s="64" t="s">
        <v>911</v>
      </c>
      <c r="C310" t="s">
        <v>554</v>
      </c>
      <c r="D310" t="s">
        <v>551</v>
      </c>
    </row>
    <row r="311" spans="1:4" hidden="1" x14ac:dyDescent="0.3">
      <c r="A311" s="140">
        <v>2649</v>
      </c>
      <c r="B311" s="64" t="s">
        <v>912</v>
      </c>
      <c r="C311" t="s">
        <v>562</v>
      </c>
      <c r="D311" t="s">
        <v>576</v>
      </c>
    </row>
    <row r="312" spans="1:4" x14ac:dyDescent="0.3">
      <c r="A312" s="140">
        <v>2650</v>
      </c>
      <c r="B312" s="64" t="s">
        <v>913</v>
      </c>
      <c r="C312" t="s">
        <v>592</v>
      </c>
      <c r="D312" t="s">
        <v>577</v>
      </c>
    </row>
    <row r="313" spans="1:4" hidden="1" x14ac:dyDescent="0.3">
      <c r="A313" s="140">
        <v>2651</v>
      </c>
      <c r="B313" s="64" t="s">
        <v>914</v>
      </c>
      <c r="C313" t="s">
        <v>552</v>
      </c>
      <c r="D313" t="s">
        <v>551</v>
      </c>
    </row>
    <row r="314" spans="1:4" hidden="1" x14ac:dyDescent="0.3">
      <c r="A314" s="140">
        <v>2652</v>
      </c>
      <c r="B314" s="64" t="s">
        <v>915</v>
      </c>
      <c r="C314" t="s">
        <v>554</v>
      </c>
      <c r="D314" t="s">
        <v>550</v>
      </c>
    </row>
    <row r="315" spans="1:4" hidden="1" x14ac:dyDescent="0.3">
      <c r="A315" s="140">
        <v>2653</v>
      </c>
      <c r="B315" s="64" t="s">
        <v>916</v>
      </c>
      <c r="C315" t="s">
        <v>554</v>
      </c>
      <c r="D315" t="s">
        <v>577</v>
      </c>
    </row>
    <row r="316" spans="1:4" hidden="1" x14ac:dyDescent="0.3">
      <c r="A316" s="140">
        <v>2654</v>
      </c>
      <c r="B316" s="64" t="s">
        <v>917</v>
      </c>
      <c r="C316" t="s">
        <v>559</v>
      </c>
      <c r="D316" t="s">
        <v>550</v>
      </c>
    </row>
    <row r="317" spans="1:4" hidden="1" x14ac:dyDescent="0.3">
      <c r="A317" s="140">
        <v>2656</v>
      </c>
      <c r="B317" s="64" t="s">
        <v>918</v>
      </c>
      <c r="C317" t="s">
        <v>559</v>
      </c>
      <c r="D317" t="s">
        <v>551</v>
      </c>
    </row>
    <row r="318" spans="1:4" hidden="1" x14ac:dyDescent="0.3">
      <c r="A318" s="140">
        <v>2658</v>
      </c>
      <c r="B318" s="64" t="s">
        <v>919</v>
      </c>
      <c r="C318" t="s">
        <v>554</v>
      </c>
      <c r="D318" t="s">
        <v>577</v>
      </c>
    </row>
    <row r="319" spans="1:4" hidden="1" x14ac:dyDescent="0.3">
      <c r="A319" s="140">
        <v>2659</v>
      </c>
      <c r="B319" s="64" t="s">
        <v>920</v>
      </c>
      <c r="C319" t="s">
        <v>600</v>
      </c>
      <c r="D319" t="s">
        <v>551</v>
      </c>
    </row>
    <row r="320" spans="1:4" hidden="1" x14ac:dyDescent="0.3">
      <c r="A320" s="140">
        <v>2660</v>
      </c>
      <c r="B320" s="64" t="s">
        <v>921</v>
      </c>
      <c r="C320" t="s">
        <v>555</v>
      </c>
      <c r="D320" t="s">
        <v>550</v>
      </c>
    </row>
    <row r="321" spans="1:4" hidden="1" x14ac:dyDescent="0.3">
      <c r="A321" s="140">
        <v>2661</v>
      </c>
      <c r="B321" s="64" t="s">
        <v>922</v>
      </c>
      <c r="C321" t="s">
        <v>559</v>
      </c>
      <c r="D321" t="s">
        <v>551</v>
      </c>
    </row>
    <row r="322" spans="1:4" hidden="1" x14ac:dyDescent="0.3">
      <c r="A322" s="140">
        <v>2663</v>
      </c>
      <c r="B322" s="64" t="s">
        <v>923</v>
      </c>
      <c r="C322" t="s">
        <v>556</v>
      </c>
      <c r="D322" t="s">
        <v>551</v>
      </c>
    </row>
    <row r="323" spans="1:4" hidden="1" x14ac:dyDescent="0.3">
      <c r="A323" s="140">
        <v>2664</v>
      </c>
      <c r="B323" s="64" t="s">
        <v>924</v>
      </c>
      <c r="C323" t="s">
        <v>558</v>
      </c>
      <c r="D323" t="s">
        <v>551</v>
      </c>
    </row>
    <row r="324" spans="1:4" hidden="1" x14ac:dyDescent="0.3">
      <c r="A324" s="140">
        <v>2665</v>
      </c>
      <c r="B324" s="64" t="s">
        <v>925</v>
      </c>
      <c r="C324" t="s">
        <v>587</v>
      </c>
      <c r="D324" t="s">
        <v>577</v>
      </c>
    </row>
    <row r="325" spans="1:4" hidden="1" x14ac:dyDescent="0.3">
      <c r="A325" s="140">
        <v>2666</v>
      </c>
      <c r="B325" s="64" t="s">
        <v>926</v>
      </c>
      <c r="C325" t="s">
        <v>558</v>
      </c>
      <c r="D325" t="s">
        <v>551</v>
      </c>
    </row>
    <row r="326" spans="1:4" hidden="1" x14ac:dyDescent="0.3">
      <c r="A326" s="140">
        <v>2670</v>
      </c>
      <c r="B326" s="64" t="s">
        <v>927</v>
      </c>
      <c r="C326" t="s">
        <v>556</v>
      </c>
      <c r="D326" t="s">
        <v>590</v>
      </c>
    </row>
    <row r="327" spans="1:4" hidden="1" x14ac:dyDescent="0.3">
      <c r="A327" s="140">
        <v>2671</v>
      </c>
      <c r="B327" s="64" t="s">
        <v>928</v>
      </c>
      <c r="C327" t="s">
        <v>556</v>
      </c>
      <c r="D327" t="s">
        <v>551</v>
      </c>
    </row>
    <row r="328" spans="1:4" hidden="1" x14ac:dyDescent="0.3">
      <c r="A328" s="140">
        <v>2673</v>
      </c>
      <c r="B328" s="64" t="s">
        <v>929</v>
      </c>
      <c r="C328" t="s">
        <v>549</v>
      </c>
      <c r="D328" t="s">
        <v>551</v>
      </c>
    </row>
    <row r="329" spans="1:4" hidden="1" x14ac:dyDescent="0.3">
      <c r="A329" s="140">
        <v>2675</v>
      </c>
      <c r="B329" s="64" t="s">
        <v>930</v>
      </c>
      <c r="C329" t="s">
        <v>587</v>
      </c>
      <c r="D329" t="s">
        <v>577</v>
      </c>
    </row>
    <row r="330" spans="1:4" hidden="1" x14ac:dyDescent="0.3">
      <c r="A330" s="140">
        <v>2676</v>
      </c>
      <c r="B330" s="64" t="s">
        <v>931</v>
      </c>
      <c r="C330" t="s">
        <v>554</v>
      </c>
      <c r="D330" t="s">
        <v>551</v>
      </c>
    </row>
    <row r="331" spans="1:4" hidden="1" x14ac:dyDescent="0.3">
      <c r="A331" s="140">
        <v>2678</v>
      </c>
      <c r="B331" s="64" t="s">
        <v>932</v>
      </c>
      <c r="C331" t="s">
        <v>554</v>
      </c>
      <c r="D331" t="s">
        <v>551</v>
      </c>
    </row>
    <row r="332" spans="1:4" hidden="1" x14ac:dyDescent="0.3">
      <c r="A332" s="140">
        <v>2679</v>
      </c>
      <c r="B332" s="64" t="s">
        <v>933</v>
      </c>
      <c r="C332" t="s">
        <v>554</v>
      </c>
      <c r="D332" t="s">
        <v>550</v>
      </c>
    </row>
    <row r="333" spans="1:4" hidden="1" x14ac:dyDescent="0.3">
      <c r="A333" s="140">
        <v>2681</v>
      </c>
      <c r="B333" s="64" t="s">
        <v>934</v>
      </c>
      <c r="C333" t="s">
        <v>549</v>
      </c>
      <c r="D333" t="s">
        <v>551</v>
      </c>
    </row>
    <row r="334" spans="1:4" hidden="1" x14ac:dyDescent="0.3">
      <c r="A334" s="140">
        <v>2682</v>
      </c>
      <c r="B334" s="64" t="s">
        <v>935</v>
      </c>
      <c r="C334" t="s">
        <v>549</v>
      </c>
      <c r="D334" t="s">
        <v>551</v>
      </c>
    </row>
    <row r="335" spans="1:4" hidden="1" x14ac:dyDescent="0.3">
      <c r="A335" s="140">
        <v>2683</v>
      </c>
      <c r="B335" s="64" t="s">
        <v>936</v>
      </c>
      <c r="C335" t="s">
        <v>559</v>
      </c>
      <c r="D335" t="s">
        <v>551</v>
      </c>
    </row>
    <row r="336" spans="1:4" hidden="1" x14ac:dyDescent="0.3">
      <c r="A336" s="140">
        <v>2685</v>
      </c>
      <c r="B336" s="64" t="s">
        <v>937</v>
      </c>
      <c r="C336" t="s">
        <v>597</v>
      </c>
      <c r="D336" t="s">
        <v>551</v>
      </c>
    </row>
    <row r="337" spans="1:4" hidden="1" x14ac:dyDescent="0.3">
      <c r="A337" s="140">
        <v>2686</v>
      </c>
      <c r="B337" s="64" t="s">
        <v>938</v>
      </c>
      <c r="C337" t="s">
        <v>562</v>
      </c>
      <c r="D337" t="s">
        <v>567</v>
      </c>
    </row>
    <row r="338" spans="1:4" hidden="1" x14ac:dyDescent="0.3">
      <c r="A338" s="140">
        <v>2687</v>
      </c>
      <c r="B338" s="64" t="s">
        <v>939</v>
      </c>
      <c r="C338" t="s">
        <v>562</v>
      </c>
      <c r="D338" t="s">
        <v>570</v>
      </c>
    </row>
    <row r="339" spans="1:4" x14ac:dyDescent="0.3">
      <c r="A339" s="140">
        <v>2688</v>
      </c>
      <c r="B339" s="64" t="s">
        <v>940</v>
      </c>
      <c r="C339" t="s">
        <v>591</v>
      </c>
      <c r="D339" t="s">
        <v>551</v>
      </c>
    </row>
    <row r="340" spans="1:4" hidden="1" x14ac:dyDescent="0.3">
      <c r="A340" s="140">
        <v>2690</v>
      </c>
      <c r="B340" s="64" t="s">
        <v>941</v>
      </c>
      <c r="C340" t="s">
        <v>558</v>
      </c>
      <c r="D340" t="s">
        <v>551</v>
      </c>
    </row>
    <row r="341" spans="1:4" hidden="1" x14ac:dyDescent="0.3">
      <c r="A341" s="140">
        <v>2691</v>
      </c>
      <c r="B341" s="64" t="s">
        <v>942</v>
      </c>
      <c r="C341" t="s">
        <v>555</v>
      </c>
      <c r="D341" t="s">
        <v>577</v>
      </c>
    </row>
    <row r="342" spans="1:4" hidden="1" x14ac:dyDescent="0.3">
      <c r="A342" s="140">
        <v>2692</v>
      </c>
      <c r="B342" s="64" t="s">
        <v>943</v>
      </c>
      <c r="C342" t="s">
        <v>587</v>
      </c>
      <c r="D342" t="s">
        <v>577</v>
      </c>
    </row>
    <row r="343" spans="1:4" hidden="1" x14ac:dyDescent="0.3">
      <c r="A343" s="140">
        <v>2693</v>
      </c>
      <c r="B343" s="64" t="s">
        <v>944</v>
      </c>
      <c r="C343" t="s">
        <v>587</v>
      </c>
      <c r="D343" t="s">
        <v>577</v>
      </c>
    </row>
    <row r="344" spans="1:4" hidden="1" x14ac:dyDescent="0.3">
      <c r="A344" s="140">
        <v>2694</v>
      </c>
      <c r="B344" s="64" t="s">
        <v>945</v>
      </c>
      <c r="C344" t="s">
        <v>561</v>
      </c>
      <c r="D344" t="s">
        <v>590</v>
      </c>
    </row>
    <row r="345" spans="1:4" hidden="1" x14ac:dyDescent="0.3">
      <c r="A345" s="140">
        <v>2695</v>
      </c>
      <c r="B345" s="64" t="s">
        <v>946</v>
      </c>
      <c r="C345" t="s">
        <v>559</v>
      </c>
      <c r="D345" t="s">
        <v>590</v>
      </c>
    </row>
    <row r="346" spans="1:4" hidden="1" x14ac:dyDescent="0.3">
      <c r="A346" s="140">
        <v>2696</v>
      </c>
      <c r="B346" s="64" t="s">
        <v>947</v>
      </c>
      <c r="C346" t="s">
        <v>561</v>
      </c>
      <c r="D346" t="s">
        <v>550</v>
      </c>
    </row>
    <row r="347" spans="1:4" hidden="1" x14ac:dyDescent="0.3">
      <c r="A347" s="140">
        <v>2697</v>
      </c>
      <c r="B347" s="64" t="s">
        <v>948</v>
      </c>
      <c r="C347" t="s">
        <v>561</v>
      </c>
      <c r="D347" t="s">
        <v>550</v>
      </c>
    </row>
    <row r="348" spans="1:4" hidden="1" x14ac:dyDescent="0.3">
      <c r="A348" s="140">
        <v>2698</v>
      </c>
      <c r="B348" s="64" t="s">
        <v>949</v>
      </c>
      <c r="C348" t="s">
        <v>561</v>
      </c>
      <c r="D348" t="s">
        <v>550</v>
      </c>
    </row>
    <row r="349" spans="1:4" hidden="1" x14ac:dyDescent="0.3">
      <c r="A349" s="140">
        <v>2702</v>
      </c>
      <c r="B349" s="64" t="s">
        <v>950</v>
      </c>
      <c r="C349" t="s">
        <v>587</v>
      </c>
      <c r="D349" t="s">
        <v>577</v>
      </c>
    </row>
    <row r="350" spans="1:4" hidden="1" x14ac:dyDescent="0.3">
      <c r="A350" s="140">
        <v>2705</v>
      </c>
      <c r="B350" s="64" t="s">
        <v>951</v>
      </c>
      <c r="C350" t="s">
        <v>554</v>
      </c>
      <c r="D350" t="s">
        <v>577</v>
      </c>
    </row>
    <row r="351" spans="1:4" hidden="1" x14ac:dyDescent="0.3">
      <c r="A351" s="140">
        <v>2706</v>
      </c>
      <c r="B351" s="64" t="s">
        <v>952</v>
      </c>
      <c r="C351" t="s">
        <v>296</v>
      </c>
      <c r="D351" t="s">
        <v>551</v>
      </c>
    </row>
    <row r="352" spans="1:4" x14ac:dyDescent="0.3">
      <c r="A352" s="140">
        <v>2708</v>
      </c>
      <c r="B352" s="64" t="s">
        <v>953</v>
      </c>
      <c r="C352" t="s">
        <v>591</v>
      </c>
      <c r="D352" t="s">
        <v>551</v>
      </c>
    </row>
    <row r="353" spans="1:4" hidden="1" x14ac:dyDescent="0.3">
      <c r="A353" s="140">
        <v>2710</v>
      </c>
      <c r="B353" s="64" t="s">
        <v>954</v>
      </c>
      <c r="C353" t="s">
        <v>586</v>
      </c>
      <c r="D353" t="s">
        <v>551</v>
      </c>
    </row>
    <row r="354" spans="1:4" hidden="1" x14ac:dyDescent="0.3">
      <c r="A354" s="140">
        <v>2711</v>
      </c>
      <c r="B354" s="64" t="s">
        <v>955</v>
      </c>
      <c r="C354" t="s">
        <v>559</v>
      </c>
      <c r="D354" t="s">
        <v>551</v>
      </c>
    </row>
    <row r="355" spans="1:4" hidden="1" x14ac:dyDescent="0.3">
      <c r="A355" s="140">
        <v>2712</v>
      </c>
      <c r="B355" s="64" t="s">
        <v>956</v>
      </c>
      <c r="C355" t="s">
        <v>589</v>
      </c>
      <c r="D355" t="s">
        <v>550</v>
      </c>
    </row>
    <row r="356" spans="1:4" hidden="1" x14ac:dyDescent="0.3">
      <c r="A356" s="140">
        <v>2716</v>
      </c>
      <c r="B356" s="64" t="s">
        <v>957</v>
      </c>
      <c r="C356" t="s">
        <v>554</v>
      </c>
      <c r="D356" t="s">
        <v>577</v>
      </c>
    </row>
    <row r="357" spans="1:4" hidden="1" x14ac:dyDescent="0.3">
      <c r="A357" s="140">
        <v>2721</v>
      </c>
      <c r="B357" s="64" t="s">
        <v>958</v>
      </c>
      <c r="C357" t="s">
        <v>554</v>
      </c>
      <c r="D357" t="s">
        <v>577</v>
      </c>
    </row>
    <row r="358" spans="1:4" hidden="1" x14ac:dyDescent="0.3">
      <c r="A358" s="140">
        <v>2724</v>
      </c>
      <c r="B358" s="64" t="s">
        <v>959</v>
      </c>
      <c r="C358" t="s">
        <v>554</v>
      </c>
      <c r="D358" t="s">
        <v>550</v>
      </c>
    </row>
    <row r="359" spans="1:4" hidden="1" x14ac:dyDescent="0.3">
      <c r="A359" s="140">
        <v>2726</v>
      </c>
      <c r="B359" s="64" t="s">
        <v>960</v>
      </c>
      <c r="C359" t="s">
        <v>601</v>
      </c>
      <c r="D359" t="s">
        <v>551</v>
      </c>
    </row>
    <row r="360" spans="1:4" hidden="1" x14ac:dyDescent="0.3">
      <c r="A360" s="140">
        <v>2727</v>
      </c>
      <c r="B360" s="64" t="s">
        <v>961</v>
      </c>
      <c r="C360" t="s">
        <v>556</v>
      </c>
      <c r="D360" t="s">
        <v>551</v>
      </c>
    </row>
    <row r="361" spans="1:4" hidden="1" x14ac:dyDescent="0.3">
      <c r="A361" s="140">
        <v>2732</v>
      </c>
      <c r="B361" s="64" t="s">
        <v>962</v>
      </c>
      <c r="C361" t="s">
        <v>549</v>
      </c>
      <c r="D361" t="s">
        <v>551</v>
      </c>
    </row>
    <row r="362" spans="1:4" hidden="1" x14ac:dyDescent="0.3">
      <c r="A362" s="140">
        <v>2733</v>
      </c>
      <c r="B362" s="64" t="s">
        <v>963</v>
      </c>
      <c r="C362" t="s">
        <v>595</v>
      </c>
      <c r="D362" t="s">
        <v>551</v>
      </c>
    </row>
    <row r="363" spans="1:4" hidden="1" x14ac:dyDescent="0.3">
      <c r="A363" s="140">
        <v>2734</v>
      </c>
      <c r="B363" s="64" t="s">
        <v>964</v>
      </c>
      <c r="C363" t="s">
        <v>587</v>
      </c>
      <c r="D363" t="s">
        <v>577</v>
      </c>
    </row>
    <row r="364" spans="1:4" hidden="1" x14ac:dyDescent="0.3">
      <c r="A364" s="140">
        <v>2735</v>
      </c>
      <c r="B364" s="64" t="s">
        <v>965</v>
      </c>
      <c r="C364" t="s">
        <v>597</v>
      </c>
      <c r="D364" t="s">
        <v>551</v>
      </c>
    </row>
    <row r="365" spans="1:4" hidden="1" x14ac:dyDescent="0.3">
      <c r="A365" s="140">
        <v>2737</v>
      </c>
      <c r="B365" s="64" t="s">
        <v>966</v>
      </c>
      <c r="C365" t="s">
        <v>596</v>
      </c>
      <c r="D365" t="s">
        <v>551</v>
      </c>
    </row>
    <row r="366" spans="1:4" hidden="1" x14ac:dyDescent="0.3">
      <c r="A366" s="140">
        <v>2738</v>
      </c>
      <c r="B366" s="64" t="s">
        <v>967</v>
      </c>
      <c r="C366" t="s">
        <v>589</v>
      </c>
      <c r="D366" t="s">
        <v>590</v>
      </c>
    </row>
    <row r="367" spans="1:4" hidden="1" x14ac:dyDescent="0.3">
      <c r="A367" s="140">
        <v>2739</v>
      </c>
      <c r="B367" s="64" t="s">
        <v>968</v>
      </c>
      <c r="C367" t="s">
        <v>556</v>
      </c>
      <c r="D367" t="s">
        <v>551</v>
      </c>
    </row>
    <row r="368" spans="1:4" hidden="1" x14ac:dyDescent="0.3">
      <c r="A368" s="140">
        <v>2740</v>
      </c>
      <c r="B368" s="64" t="s">
        <v>969</v>
      </c>
      <c r="C368" t="s">
        <v>589</v>
      </c>
      <c r="D368" t="s">
        <v>551</v>
      </c>
    </row>
    <row r="369" spans="1:4" hidden="1" x14ac:dyDescent="0.3">
      <c r="A369" s="140">
        <v>2741</v>
      </c>
      <c r="B369" s="64" t="s">
        <v>970</v>
      </c>
      <c r="C369" t="s">
        <v>585</v>
      </c>
      <c r="D369" t="s">
        <v>551</v>
      </c>
    </row>
    <row r="370" spans="1:4" hidden="1" x14ac:dyDescent="0.3">
      <c r="A370" s="140">
        <v>2742</v>
      </c>
      <c r="B370" s="64" t="s">
        <v>971</v>
      </c>
      <c r="C370" t="s">
        <v>554</v>
      </c>
      <c r="D370" t="s">
        <v>551</v>
      </c>
    </row>
    <row r="371" spans="1:4" hidden="1" x14ac:dyDescent="0.3">
      <c r="A371" s="140">
        <v>2743</v>
      </c>
      <c r="B371" s="64" t="s">
        <v>972</v>
      </c>
      <c r="C371" t="s">
        <v>561</v>
      </c>
      <c r="D371" t="s">
        <v>590</v>
      </c>
    </row>
    <row r="372" spans="1:4" hidden="1" x14ac:dyDescent="0.3">
      <c r="A372" s="140">
        <v>2744</v>
      </c>
      <c r="B372" s="64" t="s">
        <v>973</v>
      </c>
      <c r="C372" t="s">
        <v>563</v>
      </c>
      <c r="D372" t="s">
        <v>551</v>
      </c>
    </row>
    <row r="373" spans="1:4" hidden="1" x14ac:dyDescent="0.3">
      <c r="A373" s="140">
        <v>2745</v>
      </c>
      <c r="B373" s="64" t="s">
        <v>974</v>
      </c>
      <c r="C373" t="s">
        <v>597</v>
      </c>
      <c r="D373" t="s">
        <v>551</v>
      </c>
    </row>
    <row r="374" spans="1:4" hidden="1" x14ac:dyDescent="0.3">
      <c r="A374" s="140">
        <v>2746</v>
      </c>
      <c r="B374" s="64" t="s">
        <v>975</v>
      </c>
      <c r="C374" t="s">
        <v>587</v>
      </c>
      <c r="D374" t="s">
        <v>577</v>
      </c>
    </row>
    <row r="375" spans="1:4" hidden="1" x14ac:dyDescent="0.3">
      <c r="A375" s="140">
        <v>2749</v>
      </c>
      <c r="B375" s="64" t="s">
        <v>976</v>
      </c>
      <c r="C375" t="s">
        <v>587</v>
      </c>
      <c r="D375" t="s">
        <v>577</v>
      </c>
    </row>
    <row r="376" spans="1:4" hidden="1" x14ac:dyDescent="0.3">
      <c r="A376" s="140">
        <v>2750</v>
      </c>
      <c r="B376" s="64" t="s">
        <v>977</v>
      </c>
      <c r="C376" t="s">
        <v>556</v>
      </c>
      <c r="D376" t="s">
        <v>590</v>
      </c>
    </row>
    <row r="377" spans="1:4" hidden="1" x14ac:dyDescent="0.3">
      <c r="A377" s="140">
        <v>2751</v>
      </c>
      <c r="B377" s="64" t="s">
        <v>978</v>
      </c>
      <c r="C377" t="s">
        <v>549</v>
      </c>
      <c r="D377" t="s">
        <v>551</v>
      </c>
    </row>
    <row r="378" spans="1:4" hidden="1" x14ac:dyDescent="0.3">
      <c r="A378" s="140">
        <v>2752</v>
      </c>
      <c r="B378" s="64" t="s">
        <v>979</v>
      </c>
      <c r="C378" t="s">
        <v>586</v>
      </c>
      <c r="D378" t="s">
        <v>551</v>
      </c>
    </row>
    <row r="379" spans="1:4" hidden="1" x14ac:dyDescent="0.3">
      <c r="A379" s="140">
        <v>2753</v>
      </c>
      <c r="B379" s="64" t="s">
        <v>980</v>
      </c>
      <c r="C379" t="s">
        <v>556</v>
      </c>
      <c r="D379" t="s">
        <v>551</v>
      </c>
    </row>
    <row r="380" spans="1:4" hidden="1" x14ac:dyDescent="0.3">
      <c r="A380" s="140">
        <v>2754</v>
      </c>
      <c r="B380" s="64" t="s">
        <v>981</v>
      </c>
      <c r="C380" t="s">
        <v>561</v>
      </c>
      <c r="D380" t="s">
        <v>550</v>
      </c>
    </row>
    <row r="381" spans="1:4" hidden="1" x14ac:dyDescent="0.3">
      <c r="A381" s="140">
        <v>2755</v>
      </c>
      <c r="B381" s="64" t="s">
        <v>982</v>
      </c>
      <c r="C381" t="s">
        <v>586</v>
      </c>
      <c r="D381" t="s">
        <v>551</v>
      </c>
    </row>
    <row r="382" spans="1:4" hidden="1" x14ac:dyDescent="0.3">
      <c r="A382" s="140">
        <v>2756</v>
      </c>
      <c r="B382" s="64" t="s">
        <v>983</v>
      </c>
      <c r="C382" t="s">
        <v>554</v>
      </c>
      <c r="D382" t="s">
        <v>577</v>
      </c>
    </row>
    <row r="383" spans="1:4" hidden="1" x14ac:dyDescent="0.3">
      <c r="A383" s="140">
        <v>2757</v>
      </c>
      <c r="B383" s="64" t="s">
        <v>984</v>
      </c>
      <c r="C383" t="s">
        <v>554</v>
      </c>
      <c r="D383" t="s">
        <v>577</v>
      </c>
    </row>
    <row r="384" spans="1:4" hidden="1" x14ac:dyDescent="0.3">
      <c r="A384" s="140">
        <v>2758</v>
      </c>
      <c r="B384" s="64" t="s">
        <v>985</v>
      </c>
      <c r="C384" t="s">
        <v>555</v>
      </c>
      <c r="D384" t="s">
        <v>551</v>
      </c>
    </row>
    <row r="385" spans="1:4" hidden="1" x14ac:dyDescent="0.3">
      <c r="A385" s="140">
        <v>2759</v>
      </c>
      <c r="B385" s="64" t="s">
        <v>986</v>
      </c>
      <c r="C385" t="s">
        <v>554</v>
      </c>
      <c r="D385" t="s">
        <v>550</v>
      </c>
    </row>
    <row r="386" spans="1:4" hidden="1" x14ac:dyDescent="0.3">
      <c r="A386" s="140">
        <v>2760</v>
      </c>
      <c r="B386" s="64" t="s">
        <v>987</v>
      </c>
      <c r="C386" t="s">
        <v>554</v>
      </c>
      <c r="D386" t="s">
        <v>550</v>
      </c>
    </row>
    <row r="387" spans="1:4" hidden="1" x14ac:dyDescent="0.3">
      <c r="A387" s="140">
        <v>2761</v>
      </c>
      <c r="B387" s="64" t="s">
        <v>988</v>
      </c>
      <c r="C387" t="s">
        <v>597</v>
      </c>
      <c r="D387" t="s">
        <v>551</v>
      </c>
    </row>
    <row r="388" spans="1:4" hidden="1" x14ac:dyDescent="0.3">
      <c r="A388" s="140">
        <v>2762</v>
      </c>
      <c r="B388" s="64" t="s">
        <v>989</v>
      </c>
      <c r="C388" t="s">
        <v>589</v>
      </c>
      <c r="D388" t="s">
        <v>550</v>
      </c>
    </row>
    <row r="389" spans="1:4" hidden="1" x14ac:dyDescent="0.3">
      <c r="A389" s="140">
        <v>2763</v>
      </c>
      <c r="B389" s="64" t="s">
        <v>990</v>
      </c>
      <c r="C389" t="s">
        <v>587</v>
      </c>
      <c r="D389" t="s">
        <v>577</v>
      </c>
    </row>
    <row r="390" spans="1:4" hidden="1" x14ac:dyDescent="0.3">
      <c r="A390" s="140">
        <v>2764</v>
      </c>
      <c r="B390" s="64" t="s">
        <v>991</v>
      </c>
      <c r="C390" t="s">
        <v>596</v>
      </c>
      <c r="D390" t="s">
        <v>551</v>
      </c>
    </row>
    <row r="391" spans="1:4" hidden="1" x14ac:dyDescent="0.3">
      <c r="A391" s="140">
        <v>2765</v>
      </c>
      <c r="B391" s="64" t="s">
        <v>992</v>
      </c>
      <c r="C391" t="s">
        <v>597</v>
      </c>
      <c r="D391" t="s">
        <v>551</v>
      </c>
    </row>
    <row r="392" spans="1:4" hidden="1" x14ac:dyDescent="0.3">
      <c r="A392" s="140">
        <v>2766</v>
      </c>
      <c r="B392" s="64" t="s">
        <v>993</v>
      </c>
      <c r="C392" t="s">
        <v>596</v>
      </c>
      <c r="D392" t="s">
        <v>551</v>
      </c>
    </row>
    <row r="393" spans="1:4" hidden="1" x14ac:dyDescent="0.3">
      <c r="A393" s="140">
        <v>2767</v>
      </c>
      <c r="B393" s="64" t="s">
        <v>994</v>
      </c>
      <c r="C393" t="s">
        <v>589</v>
      </c>
      <c r="D393" t="s">
        <v>577</v>
      </c>
    </row>
    <row r="394" spans="1:4" hidden="1" x14ac:dyDescent="0.3">
      <c r="A394" s="140">
        <v>2768</v>
      </c>
      <c r="B394" s="64" t="s">
        <v>995</v>
      </c>
      <c r="C394" t="s">
        <v>558</v>
      </c>
      <c r="D394" t="s">
        <v>551</v>
      </c>
    </row>
    <row r="395" spans="1:4" hidden="1" x14ac:dyDescent="0.3">
      <c r="A395" s="140">
        <v>2769</v>
      </c>
      <c r="B395" s="64" t="s">
        <v>996</v>
      </c>
      <c r="C395" t="s">
        <v>589</v>
      </c>
      <c r="D395" t="s">
        <v>550</v>
      </c>
    </row>
    <row r="396" spans="1:4" hidden="1" x14ac:dyDescent="0.3">
      <c r="A396" s="140">
        <v>2770</v>
      </c>
      <c r="B396" s="64" t="s">
        <v>997</v>
      </c>
      <c r="C396" t="s">
        <v>556</v>
      </c>
      <c r="D396" t="s">
        <v>551</v>
      </c>
    </row>
    <row r="397" spans="1:4" hidden="1" x14ac:dyDescent="0.3">
      <c r="A397" s="140">
        <v>2771</v>
      </c>
      <c r="B397" s="64" t="s">
        <v>998</v>
      </c>
      <c r="C397" t="s">
        <v>586</v>
      </c>
      <c r="D397" t="s">
        <v>551</v>
      </c>
    </row>
    <row r="398" spans="1:4" hidden="1" x14ac:dyDescent="0.3">
      <c r="A398" s="140">
        <v>2772</v>
      </c>
      <c r="B398" s="64" t="s">
        <v>999</v>
      </c>
      <c r="C398" t="s">
        <v>554</v>
      </c>
      <c r="D398" t="s">
        <v>577</v>
      </c>
    </row>
    <row r="399" spans="1:4" x14ac:dyDescent="0.3">
      <c r="A399" s="140">
        <v>2773</v>
      </c>
      <c r="B399" s="64" t="s">
        <v>1000</v>
      </c>
      <c r="C399" t="s">
        <v>591</v>
      </c>
      <c r="D399" t="s">
        <v>550</v>
      </c>
    </row>
    <row r="400" spans="1:4" hidden="1" x14ac:dyDescent="0.3">
      <c r="A400" s="140">
        <v>2774</v>
      </c>
      <c r="B400" s="64" t="s">
        <v>1001</v>
      </c>
      <c r="C400" t="s">
        <v>554</v>
      </c>
      <c r="D400" t="s">
        <v>551</v>
      </c>
    </row>
    <row r="401" spans="1:4" hidden="1" x14ac:dyDescent="0.3">
      <c r="A401" s="140">
        <v>2775</v>
      </c>
      <c r="B401" s="64" t="s">
        <v>1002</v>
      </c>
      <c r="C401" t="s">
        <v>556</v>
      </c>
      <c r="D401" t="s">
        <v>551</v>
      </c>
    </row>
    <row r="402" spans="1:4" x14ac:dyDescent="0.3">
      <c r="A402" s="140">
        <v>2777</v>
      </c>
      <c r="B402" s="64" t="s">
        <v>1003</v>
      </c>
      <c r="C402" t="s">
        <v>591</v>
      </c>
      <c r="D402" t="s">
        <v>551</v>
      </c>
    </row>
    <row r="403" spans="1:4" hidden="1" x14ac:dyDescent="0.3">
      <c r="A403" s="140">
        <v>2778</v>
      </c>
      <c r="B403" s="64" t="s">
        <v>1004</v>
      </c>
      <c r="C403" t="s">
        <v>595</v>
      </c>
      <c r="D403" t="s">
        <v>551</v>
      </c>
    </row>
    <row r="404" spans="1:4" hidden="1" x14ac:dyDescent="0.3">
      <c r="A404" s="140">
        <v>2779</v>
      </c>
      <c r="B404" s="64" t="s">
        <v>1005</v>
      </c>
      <c r="C404" t="s">
        <v>589</v>
      </c>
      <c r="D404" t="s">
        <v>551</v>
      </c>
    </row>
    <row r="405" spans="1:4" hidden="1" x14ac:dyDescent="0.3">
      <c r="A405" s="140">
        <v>2780</v>
      </c>
      <c r="B405" s="64" t="s">
        <v>1006</v>
      </c>
      <c r="C405" t="s">
        <v>553</v>
      </c>
      <c r="D405" t="s">
        <v>551</v>
      </c>
    </row>
    <row r="406" spans="1:4" hidden="1" x14ac:dyDescent="0.3">
      <c r="A406" s="140">
        <v>2781</v>
      </c>
      <c r="B406" s="64" t="s">
        <v>1007</v>
      </c>
      <c r="C406" t="s">
        <v>558</v>
      </c>
      <c r="D406" t="s">
        <v>551</v>
      </c>
    </row>
    <row r="407" spans="1:4" hidden="1" x14ac:dyDescent="0.3">
      <c r="A407" s="140">
        <v>2783</v>
      </c>
      <c r="B407" s="64" t="s">
        <v>1008</v>
      </c>
      <c r="C407" t="s">
        <v>555</v>
      </c>
      <c r="D407" t="s">
        <v>551</v>
      </c>
    </row>
    <row r="408" spans="1:4" hidden="1" x14ac:dyDescent="0.3">
      <c r="A408" s="140">
        <v>2784</v>
      </c>
      <c r="B408" s="64" t="s">
        <v>1009</v>
      </c>
      <c r="C408" t="s">
        <v>554</v>
      </c>
      <c r="D408" t="s">
        <v>577</v>
      </c>
    </row>
    <row r="409" spans="1:4" hidden="1" x14ac:dyDescent="0.3">
      <c r="A409" s="140">
        <v>2786</v>
      </c>
      <c r="B409" s="64" t="s">
        <v>1010</v>
      </c>
      <c r="C409" t="s">
        <v>555</v>
      </c>
      <c r="D409" t="s">
        <v>551</v>
      </c>
    </row>
    <row r="410" spans="1:4" x14ac:dyDescent="0.3">
      <c r="A410" s="140">
        <v>2787</v>
      </c>
      <c r="B410" s="64" t="s">
        <v>1011</v>
      </c>
      <c r="C410" t="s">
        <v>592</v>
      </c>
      <c r="D410" t="s">
        <v>551</v>
      </c>
    </row>
    <row r="411" spans="1:4" hidden="1" x14ac:dyDescent="0.3">
      <c r="A411" s="140">
        <v>2788</v>
      </c>
      <c r="B411" s="64" t="s">
        <v>1012</v>
      </c>
      <c r="C411" t="s">
        <v>563</v>
      </c>
      <c r="D411" t="s">
        <v>551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20"/>
  <sheetViews>
    <sheetView workbookViewId="0">
      <selection activeCell="B18" sqref="B18"/>
    </sheetView>
  </sheetViews>
  <sheetFormatPr baseColWidth="10" defaultRowHeight="14.4" x14ac:dyDescent="0.3"/>
  <cols>
    <col min="1" max="1" width="13" customWidth="1"/>
    <col min="2" max="2" width="24.44140625" customWidth="1"/>
    <col min="3" max="3" width="20.5546875" customWidth="1"/>
    <col min="4" max="4" width="12.6640625" customWidth="1"/>
    <col min="5" max="5" width="20.109375" customWidth="1"/>
    <col min="6" max="6" width="13.6640625" customWidth="1"/>
    <col min="7" max="7" width="10.88671875" customWidth="1"/>
    <col min="8" max="8" width="11.44140625" style="40" customWidth="1"/>
  </cols>
  <sheetData>
    <row r="1" spans="1:8" ht="15" thickBot="1" x14ac:dyDescent="0.35">
      <c r="A1" s="37" t="s">
        <v>30</v>
      </c>
      <c r="B1" s="37"/>
      <c r="C1" s="38"/>
      <c r="D1" s="38"/>
      <c r="E1" s="38"/>
      <c r="F1" s="38"/>
      <c r="G1" s="38"/>
    </row>
    <row r="2" spans="1:8" ht="15" customHeight="1" x14ac:dyDescent="0.3">
      <c r="A2" s="169" t="s">
        <v>23</v>
      </c>
      <c r="B2" s="167" t="s">
        <v>3</v>
      </c>
      <c r="C2" s="171" t="s">
        <v>2</v>
      </c>
      <c r="D2" s="167" t="s">
        <v>20</v>
      </c>
      <c r="E2" s="11" t="s">
        <v>7</v>
      </c>
      <c r="F2" s="167" t="s">
        <v>17</v>
      </c>
      <c r="G2" s="175" t="s">
        <v>9</v>
      </c>
    </row>
    <row r="3" spans="1:8" ht="15" thickBot="1" x14ac:dyDescent="0.35">
      <c r="A3" s="170"/>
      <c r="B3" s="168"/>
      <c r="C3" s="172"/>
      <c r="D3" s="173"/>
      <c r="E3" s="10" t="s">
        <v>1</v>
      </c>
      <c r="F3" s="174"/>
      <c r="G3" s="176"/>
    </row>
    <row r="4" spans="1:8" s="3" customFormat="1" ht="15" thickTop="1" x14ac:dyDescent="0.3">
      <c r="A4" s="12" t="s">
        <v>10</v>
      </c>
      <c r="B4" s="4" t="e">
        <f>IF(ISBLANK(A4)," ",VLOOKUP(A4,Producto,MATCH("Descripción",#REF!,0),FALSE))</f>
        <v>#NAME?</v>
      </c>
      <c r="C4" s="5">
        <v>4</v>
      </c>
      <c r="D4" s="6" t="e">
        <f>IF(ISBLANK(A4)," ",VLOOKUP(A4,Producto,MATCH("Precio Unidad",#REF!,0),FALSE))</f>
        <v>#NAME?</v>
      </c>
      <c r="E4" s="7" t="e">
        <f>IF(ISBLANK(A4)," ",VLOOKUP(A4,Producto,MATCH("descuento%",#REF!,0),FALSE))</f>
        <v>#NAME?</v>
      </c>
      <c r="F4" s="8" t="e">
        <f>IF(ISBLANK(C4)," ",D4*E4)</f>
        <v>#NAME?</v>
      </c>
      <c r="G4" s="13" t="e">
        <f>IF(ISBLANK(C4)," ",C4*D4-F4)</f>
        <v>#NAME?</v>
      </c>
      <c r="H4" s="42"/>
    </row>
    <row r="5" spans="1:8" s="3" customFormat="1" x14ac:dyDescent="0.3">
      <c r="A5" s="14" t="s">
        <v>11</v>
      </c>
      <c r="B5" s="4" t="e">
        <f>IF(ISBLANK(A5)," ",VLOOKUP(A5,Producto,MATCH("Descripción",#REF!,0),FALSE))</f>
        <v>#NAME?</v>
      </c>
      <c r="C5" s="9">
        <v>2</v>
      </c>
      <c r="D5" s="6" t="e">
        <f>IF(ISBLANK(A5)," ",VLOOKUP(A5,Producto,MATCH("Precio Unidad",#REF!,0),FALSE))</f>
        <v>#NAME?</v>
      </c>
      <c r="E5" s="7" t="e">
        <f>IF(ISBLANK(A5)," ",VLOOKUP(A5,Producto,MATCH("descuento%",#REF!,0),FALSE))</f>
        <v>#NAME?</v>
      </c>
      <c r="F5" s="8" t="e">
        <f>IF(ISBLANK(C5)," ",D5*E5)</f>
        <v>#NAME?</v>
      </c>
      <c r="G5" s="13" t="e">
        <f>IF(ISBLANK(C5)," ",C5*D5-F5)</f>
        <v>#NAME?</v>
      </c>
      <c r="H5" s="42"/>
    </row>
    <row r="6" spans="1:8" s="3" customFormat="1" ht="15" thickBot="1" x14ac:dyDescent="0.35">
      <c r="A6" s="15" t="s">
        <v>12</v>
      </c>
      <c r="B6" s="16" t="e">
        <f>IF(ISBLANK(A6)," ",VLOOKUP(A6,Producto,MATCH("Descripción",#REF!,0),FALSE))</f>
        <v>#NAME?</v>
      </c>
      <c r="C6" s="17">
        <v>3</v>
      </c>
      <c r="D6" s="18" t="e">
        <f>IF(ISBLANK(A6)," ",VLOOKUP(A6,Producto,MATCH("Precio Unidad",#REF!,0),FALSE))</f>
        <v>#NAME?</v>
      </c>
      <c r="E6" s="19" t="e">
        <f>IF(ISBLANK(A6)," ",VLOOKUP(A6,Producto,MATCH("descuento%",#REF!,0),FALSE))</f>
        <v>#NAME?</v>
      </c>
      <c r="F6" s="20" t="e">
        <f>IF(ISBLANK(C6)," ",D6*E6)</f>
        <v>#NAME?</v>
      </c>
      <c r="G6" s="21" t="e">
        <f>IF(ISBLANK(C6)," ",C6*D6-F6)</f>
        <v>#NAME?</v>
      </c>
      <c r="H6" s="42"/>
    </row>
    <row r="7" spans="1:8" x14ac:dyDescent="0.3">
      <c r="C7" s="40"/>
      <c r="D7" s="40"/>
      <c r="E7" s="40"/>
      <c r="F7" s="40"/>
      <c r="G7" s="40"/>
    </row>
    <row r="8" spans="1:8" ht="15" thickBot="1" x14ac:dyDescent="0.35">
      <c r="A8" s="41" t="s">
        <v>28</v>
      </c>
      <c r="B8" s="41"/>
      <c r="C8" s="38"/>
      <c r="D8" s="38"/>
      <c r="E8" s="38"/>
      <c r="F8" s="38"/>
      <c r="G8" s="38"/>
    </row>
    <row r="9" spans="1:8" x14ac:dyDescent="0.3">
      <c r="A9" s="22" t="s">
        <v>18</v>
      </c>
      <c r="B9" s="23" t="s">
        <v>0</v>
      </c>
      <c r="C9" s="163" t="s">
        <v>19</v>
      </c>
      <c r="D9" s="164"/>
      <c r="E9" s="24" t="s">
        <v>8</v>
      </c>
      <c r="F9" s="25" t="s">
        <v>6</v>
      </c>
      <c r="G9" s="26" t="s">
        <v>22</v>
      </c>
    </row>
    <row r="10" spans="1:8" ht="15" thickBot="1" x14ac:dyDescent="0.35">
      <c r="A10" s="27">
        <v>1</v>
      </c>
      <c r="B10" s="28" t="s">
        <v>21</v>
      </c>
      <c r="C10" s="165" t="s">
        <v>25</v>
      </c>
      <c r="D10" s="166"/>
      <c r="E10" s="29" t="s">
        <v>26</v>
      </c>
      <c r="F10" s="30">
        <v>1234567890</v>
      </c>
      <c r="G10" s="31" t="s">
        <v>27</v>
      </c>
    </row>
    <row r="11" spans="1:8" x14ac:dyDescent="0.3">
      <c r="A11" s="32"/>
      <c r="B11" s="32"/>
      <c r="C11" s="33"/>
      <c r="D11" s="33"/>
      <c r="E11" s="34"/>
      <c r="F11" s="35"/>
      <c r="G11" s="36"/>
    </row>
    <row r="12" spans="1:8" x14ac:dyDescent="0.3">
      <c r="A12" s="57"/>
      <c r="B12" s="57"/>
      <c r="C12" s="58"/>
      <c r="D12" s="58"/>
      <c r="E12" s="59"/>
      <c r="F12" s="60"/>
      <c r="G12" s="44"/>
    </row>
    <row r="13" spans="1:8" ht="15" thickBot="1" x14ac:dyDescent="0.35">
      <c r="A13" s="37" t="s">
        <v>29</v>
      </c>
      <c r="B13" s="37"/>
      <c r="C13" s="38"/>
      <c r="D13" s="38"/>
      <c r="E13" s="38"/>
      <c r="F13" s="56"/>
      <c r="G13" s="56"/>
    </row>
    <row r="14" spans="1:8" x14ac:dyDescent="0.3">
      <c r="A14" s="39"/>
      <c r="B14" s="45" t="s">
        <v>24</v>
      </c>
      <c r="C14" s="46" t="s">
        <v>4</v>
      </c>
      <c r="D14" s="47" t="s">
        <v>20</v>
      </c>
      <c r="E14" s="48" t="s">
        <v>5</v>
      </c>
      <c r="F14" s="44"/>
      <c r="G14" s="44"/>
    </row>
    <row r="15" spans="1:8" ht="28.8" x14ac:dyDescent="0.3">
      <c r="A15" s="39"/>
      <c r="B15" s="49" t="s">
        <v>10</v>
      </c>
      <c r="C15" s="1" t="s">
        <v>13</v>
      </c>
      <c r="D15" s="2">
        <v>1000</v>
      </c>
      <c r="E15" s="50">
        <v>0.08</v>
      </c>
      <c r="F15" s="43"/>
      <c r="G15" s="44"/>
    </row>
    <row r="16" spans="1:8" ht="28.8" x14ac:dyDescent="0.3">
      <c r="A16" s="39"/>
      <c r="B16" s="49" t="s">
        <v>11</v>
      </c>
      <c r="C16" s="1" t="s">
        <v>14</v>
      </c>
      <c r="D16" s="2">
        <v>1500</v>
      </c>
      <c r="E16" s="51">
        <v>0.05</v>
      </c>
      <c r="F16" s="43"/>
      <c r="G16" s="44"/>
    </row>
    <row r="17" spans="1:7" ht="28.8" x14ac:dyDescent="0.3">
      <c r="A17" s="39"/>
      <c r="B17" s="49" t="s">
        <v>12</v>
      </c>
      <c r="C17" s="1" t="s">
        <v>15</v>
      </c>
      <c r="D17" s="2">
        <v>2000</v>
      </c>
      <c r="E17" s="51">
        <v>4.8000000000000001E-2</v>
      </c>
      <c r="F17" s="43"/>
      <c r="G17" s="44"/>
    </row>
    <row r="18" spans="1:7" ht="29.4" thickBot="1" x14ac:dyDescent="0.35">
      <c r="A18" s="39"/>
      <c r="B18" s="52" t="s">
        <v>31</v>
      </c>
      <c r="C18" s="53" t="s">
        <v>16</v>
      </c>
      <c r="D18" s="54">
        <v>2500</v>
      </c>
      <c r="E18" s="55">
        <v>4.5999999999999999E-2</v>
      </c>
      <c r="F18" s="43"/>
      <c r="G18" s="44"/>
    </row>
    <row r="19" spans="1:7" x14ac:dyDescent="0.3">
      <c r="A19" s="39"/>
      <c r="F19" s="40"/>
      <c r="G19" s="40"/>
    </row>
    <row r="20" spans="1:7" x14ac:dyDescent="0.3">
      <c r="A20" s="39"/>
      <c r="F20" s="40"/>
      <c r="G20" s="40"/>
    </row>
  </sheetData>
  <mergeCells count="8">
    <mergeCell ref="F2:F3"/>
    <mergeCell ref="G2:G3"/>
    <mergeCell ref="C9:D9"/>
    <mergeCell ref="C10:D10"/>
    <mergeCell ref="B2:B3"/>
    <mergeCell ref="A2:A3"/>
    <mergeCell ref="C2:C3"/>
    <mergeCell ref="D2:D3"/>
  </mergeCells>
  <phoneticPr fontId="0" type="noConversion"/>
  <conditionalFormatting sqref="E4:G6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180118E5-06A5-436B-9C73-DB0C3DEA28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Acceuil</vt:lpstr>
      <vt:lpstr>Base Contacts Internes</vt:lpstr>
      <vt:lpstr>Base Contacts Externes</vt:lpstr>
      <vt:lpstr>BASE</vt:lpstr>
      <vt:lpstr>Datos todas las hojas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Listín telefónico</dc:title>
  <dc:subject>Teléfonos</dc:subject>
  <dc:creator>Excelword</dc:creator>
  <cp:lastModifiedBy>Mohamed Aoutil</cp:lastModifiedBy>
  <cp:revision>1</cp:revision>
  <cp:lastPrinted>2023-06-08T09:51:48Z</cp:lastPrinted>
  <dcterms:created xsi:type="dcterms:W3CDTF">2008-02-20T21:11:43Z</dcterms:created>
  <dcterms:modified xsi:type="dcterms:W3CDTF">2025-04-30T07:55:32Z</dcterms:modified>
</cp:coreProperties>
</file>